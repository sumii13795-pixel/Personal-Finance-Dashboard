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5174042461667B231027E2D346DB37EC4D212727" xr6:coauthVersionLast="47" xr6:coauthVersionMax="47" xr10:uidLastSave="{00000000-0000-0000-0000-000000000000}"/>
  <bookViews>
    <workbookView xWindow="0" yWindow="0" windowWidth="16384" windowHeight="8192" tabRatio="500" activeTab="4" xr2:uid="{00000000-000D-0000-FFFF-FFFF00000000}"/>
  </bookViews>
  <sheets>
    <sheet name="Raw Data" sheetId="1" r:id="rId1"/>
    <sheet name="Cleaned Data" sheetId="2" r:id="rId2"/>
    <sheet name="Budget Planning" sheetId="3" r:id="rId3"/>
    <sheet name="KPI Summary" sheetId="4" r:id="rId4"/>
    <sheet name="Dashboard" sheetId="5" r:id="rId5"/>
    <sheet name="Monthly Analysis" sheetId="6" r:id="rId6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6" l="1"/>
  <c r="H3" i="6"/>
  <c r="H4" i="6"/>
  <c r="H5" i="6"/>
  <c r="H6" i="6"/>
  <c r="H7" i="6"/>
  <c r="I8" i="6"/>
  <c r="I7" i="6"/>
  <c r="I6" i="6"/>
  <c r="B6" i="6"/>
  <c r="C6" i="6"/>
  <c r="D6" i="6"/>
  <c r="E6" i="6"/>
  <c r="L5" i="6"/>
  <c r="I5" i="6"/>
  <c r="B5" i="6"/>
  <c r="C5" i="6"/>
  <c r="D5" i="6"/>
  <c r="E5" i="6"/>
  <c r="L4" i="6"/>
  <c r="I4" i="6"/>
  <c r="B4" i="6"/>
  <c r="C4" i="6"/>
  <c r="D4" i="6"/>
  <c r="E4" i="6"/>
  <c r="L3" i="6"/>
  <c r="I3" i="6"/>
  <c r="B3" i="6"/>
  <c r="C3" i="6"/>
  <c r="D3" i="6"/>
  <c r="E3" i="6"/>
  <c r="E8" i="4"/>
  <c r="C8" i="4"/>
  <c r="A8" i="4"/>
  <c r="C6" i="4"/>
  <c r="A5" i="4"/>
  <c r="C3" i="3"/>
  <c r="D3" i="3"/>
  <c r="C4" i="3"/>
  <c r="D4" i="3"/>
  <c r="C5" i="3"/>
  <c r="D5" i="3"/>
  <c r="C6" i="3"/>
  <c r="D6" i="3"/>
  <c r="C7" i="3"/>
  <c r="D7" i="3"/>
  <c r="C8" i="3"/>
  <c r="D8" i="3"/>
  <c r="D9" i="3"/>
  <c r="E9" i="3"/>
  <c r="C9" i="3"/>
  <c r="B9" i="3"/>
  <c r="E8" i="3"/>
  <c r="E7" i="3"/>
  <c r="E6" i="3"/>
  <c r="E5" i="3"/>
  <c r="E4" i="3"/>
  <c r="E3" i="3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L18" i="5"/>
  <c r="J12" i="5"/>
  <c r="J13" i="5"/>
  <c r="J14" i="5"/>
  <c r="J15" i="5"/>
  <c r="J16" i="5"/>
  <c r="J17" i="5"/>
  <c r="J18" i="5"/>
  <c r="M18" i="5"/>
  <c r="M17" i="5"/>
  <c r="N17" i="5"/>
  <c r="L17" i="5"/>
  <c r="K17" i="5"/>
  <c r="M16" i="5"/>
  <c r="N16" i="5"/>
  <c r="L16" i="5"/>
  <c r="K16" i="5"/>
  <c r="D12" i="5"/>
  <c r="D13" i="5"/>
  <c r="D14" i="5"/>
  <c r="D15" i="5"/>
  <c r="D16" i="5"/>
  <c r="B12" i="5"/>
  <c r="B13" i="5"/>
  <c r="B14" i="5"/>
  <c r="B15" i="5"/>
  <c r="B16" i="5"/>
  <c r="E16" i="5"/>
  <c r="C12" i="5"/>
  <c r="C13" i="5"/>
  <c r="C14" i="5"/>
  <c r="C15" i="5"/>
  <c r="C16" i="5"/>
  <c r="M15" i="5"/>
  <c r="N15" i="5"/>
  <c r="L15" i="5"/>
  <c r="K15" i="5"/>
  <c r="F15" i="5"/>
  <c r="E15" i="5"/>
  <c r="M14" i="5"/>
  <c r="N14" i="5"/>
  <c r="L14" i="5"/>
  <c r="K14" i="5"/>
  <c r="F14" i="5"/>
  <c r="E14" i="5"/>
  <c r="M13" i="5"/>
  <c r="N13" i="5"/>
  <c r="L13" i="5"/>
  <c r="K13" i="5"/>
  <c r="F13" i="5"/>
  <c r="E13" i="5"/>
  <c r="M12" i="5"/>
  <c r="N12" i="5"/>
  <c r="L12" i="5"/>
  <c r="K12" i="5"/>
  <c r="F12" i="5"/>
  <c r="E12" i="5"/>
  <c r="M5" i="5"/>
  <c r="J5" i="5"/>
  <c r="G5" i="5"/>
  <c r="D5" i="5"/>
  <c r="A5" i="5"/>
</calcChain>
</file>

<file path=xl/sharedStrings.xml><?xml version="1.0" encoding="utf-8"?>
<sst xmlns="http://schemas.openxmlformats.org/spreadsheetml/2006/main" count="706" uniqueCount="188">
  <si>
    <t>📊  Personal Finance — Raw Transaction Data</t>
  </si>
  <si>
    <t>Date</t>
  </si>
  <si>
    <t>Month</t>
  </si>
  <si>
    <t>Income Source</t>
  </si>
  <si>
    <t>Expense Category</t>
  </si>
  <si>
    <t>Expense Type</t>
  </si>
  <si>
    <t>Payment Mode</t>
  </si>
  <si>
    <t>Amount</t>
  </si>
  <si>
    <t>Indicator</t>
  </si>
  <si>
    <t>Savings</t>
  </si>
  <si>
    <t>Budget Allocated</t>
  </si>
  <si>
    <t>Budget Remaining</t>
  </si>
  <si>
    <t>Notes</t>
  </si>
  <si>
    <t>03-01-2026</t>
  </si>
  <si>
    <t>Jan</t>
  </si>
  <si>
    <t>Salary</t>
  </si>
  <si>
    <t>Variable</t>
  </si>
  <si>
    <t>UPI</t>
  </si>
  <si>
    <t>Income</t>
  </si>
  <si>
    <t>04-01-2026</t>
  </si>
  <si>
    <t>Travel</t>
  </si>
  <si>
    <t>Bank</t>
  </si>
  <si>
    <t>Expense</t>
  </si>
  <si>
    <t>05-01-2026</t>
  </si>
  <si>
    <t>Food</t>
  </si>
  <si>
    <t>Credit Card</t>
  </si>
  <si>
    <t>06-01-2026</t>
  </si>
  <si>
    <t>Business</t>
  </si>
  <si>
    <t>Cash</t>
  </si>
  <si>
    <t>07-01-2026</t>
  </si>
  <si>
    <t>Shopping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</si>
  <si>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</si>
  <si>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</si>
  <si>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</si>
  <si>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</si>
  <si>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</si>
  <si>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</si>
  <si>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</si>
  <si>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Freelance</t>
  </si>
  <si>
    <t>15-01-2026</t>
  </si>
  <si>
    <t>EMI</t>
  </si>
  <si>
    <t>16-01-2026</t>
  </si>
  <si>
    <t>Bills</t>
  </si>
  <si>
    <t>17-01-2026</t>
  </si>
  <si>
    <t>18-01-2026</t>
  </si>
  <si>
    <t>19-01-2026</t>
  </si>
  <si>
    <t>Rent</t>
  </si>
  <si>
    <t>Fixed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</si>
  <si>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</si>
  <si>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</si>
  <si>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</si>
  <si>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</si>
  <si>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</si>
  <si>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</si>
  <si>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</si>
  <si>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</si>
  <si>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</si>
  <si>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</si>
  <si>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</si>
  <si>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</si>
  <si>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</si>
  <si>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Feb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</si>
  <si>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</si>
  <si>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</si>
  <si>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</si>
  <si>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</si>
  <si>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</si>
  <si>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</si>
  <si>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</si>
  <si>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</si>
  <si>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</si>
  <si>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</si>
  <si>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</si>
  <si>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</si>
  <si>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</si>
  <si>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</si>
  <si>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</si>
  <si>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</si>
  <si>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</si>
  <si>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</si>
  <si>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</si>
  <si>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</si>
  <si>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</si>
  <si>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</si>
  <si>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</si>
  <si>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</si>
  <si>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</si>
  <si>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</si>
  <si>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</si>
  <si>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</si>
  <si>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Mar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</si>
  <si>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</si>
  <si>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</si>
  <si>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</si>
  <si>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</si>
  <si>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</si>
  <si>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</si>
  <si>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</si>
  <si>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</si>
  <si>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</si>
  <si>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</si>
  <si>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</si>
  <si>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</si>
  <si>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</si>
  <si>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</si>
  <si>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</si>
  <si>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</si>
  <si>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</si>
  <si>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</si>
  <si>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</si>
  <si>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</si>
  <si>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</si>
  <si>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</si>
  <si>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</si>
  <si>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</si>
  <si>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</si>
  <si>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</si>
  <si>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</si>
  <si>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</si>
  <si>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</si>
  <si>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</si>
  <si>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</si>
  <si>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Apr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</si>
  <si>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</si>
  <si>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</si>
  <si>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</si>
  <si>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</si>
  <si>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</si>
  <si>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</si>
  <si>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</si>
  <si>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</si>
  <si>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</si>
  <si>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</si>
  <si>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</si>
  <si>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🎯  Budget Planning &amp; Tracking</t>
  </si>
  <si>
    <t>Category</t>
  </si>
  <si>
    <t>Monthly Budget</t>
  </si>
  <si>
    <t>Actual Spend</t>
  </si>
  <si>
    <t>Variance</t>
  </si>
  <si>
    <t>Status</t>
  </si>
  <si>
    <t>TOTAL</t>
  </si>
  <si>
    <t>💰  KPI Summary Dashboard</t>
  </si>
  <si>
    <t>Key Performance Indicators — Personal Finance FY 2026</t>
  </si>
  <si>
    <t>💵 Total Income</t>
  </si>
  <si>
    <t>💸 Total Expense</t>
  </si>
  <si>
    <t>📈 Net Savings</t>
  </si>
  <si>
    <t>💹 Savings Rate</t>
  </si>
  <si>
    <t>📅 Avg Monthly Savings</t>
  </si>
  <si>
    <t>🏦 Total Transactions</t>
  </si>
  <si>
    <t>💼  PERSONAL FINANCE DASHBOARD  |  FY 2026</t>
  </si>
  <si>
    <t>Powered by Real Transaction Data  •  Jan – Apr 2026  •  All amounts in INR (₹)</t>
  </si>
  <si>
    <t>💵  TOTAL INCOME</t>
  </si>
  <si>
    <t>💸  TOTAL EXPENSE</t>
  </si>
  <si>
    <t>📈  NET SAVINGS</t>
  </si>
  <si>
    <t>💹  SAVINGS RATE</t>
  </si>
  <si>
    <t>🏦  TRANSACTIONS</t>
  </si>
  <si>
    <t>📅  MONTHLY BREAKDOWN</t>
  </si>
  <si>
    <t>📊  EXPENSE BY CATEGORY</t>
  </si>
  <si>
    <t>Income (₹)</t>
  </si>
  <si>
    <t>Expense (₹)</t>
  </si>
  <si>
    <t>Net Savings (₹)</t>
  </si>
  <si>
    <t>Savings Rate</t>
  </si>
  <si>
    <t>vs Prev Month</t>
  </si>
  <si>
    <t>Amount (₹)</t>
  </si>
  <si>
    <t>% Share</t>
  </si>
  <si>
    <t>Budget (₹)</t>
  </si>
  <si>
    <t>Variance (₹)</t>
  </si>
  <si>
    <t>—</t>
  </si>
  <si>
    <t>100.0%</t>
  </si>
  <si>
    <t>🧠  KEY INSIGHTS &amp; ANALYSIS</t>
  </si>
  <si>
    <t>💡  Highest Expense</t>
  </si>
  <si>
    <t>Rent is the largest single expense category, accounting for ~18% of total spend.</t>
  </si>
  <si>
    <t>📉  March Alert</t>
  </si>
  <si>
    <t>March had the highest expenses (₹1,11,140). Monitor recurring costs that month.</t>
  </si>
  <si>
    <t>🏆  Best Month</t>
  </si>
  <si>
    <t>April had the best savings performance with the lowest expense-to-income ratio.</t>
  </si>
  <si>
    <t>💰  Income Mix</t>
  </si>
  <si>
    <t>Income is well-diversified: Salary (37%), Business (36%), Freelance (27%).</t>
  </si>
  <si>
    <t>🎯  Savings Target</t>
  </si>
  <si>
    <t>Current savings rate exceeds 69% — significantly above the recommended 20% benchmark.</t>
  </si>
  <si>
    <t>⚠️  Action Item</t>
  </si>
  <si>
    <t>Shopping and Travel expenses combined equal ~35% of total spend. Review discretionary spend.</t>
  </si>
  <si>
    <t>📅  Monthly Income vs Expense Analysis</t>
  </si>
  <si>
    <t>Total Income</t>
  </si>
  <si>
    <t>Total Expense</t>
  </si>
  <si>
    <t>Net Savings</t>
  </si>
  <si>
    <t>Total Amount</t>
  </si>
  <si>
    <t>% of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</si>
</sst>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\₹#,##0;&quot;(₹&quot;#,##0\);&quot;--&quot;"/>
  </numFmts>
  <fonts count="2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263238"/>
      <name val="Arial"/>
      <charset val="1"/>
    </font>
    <font>
      <b/>
      <sz val="9"/>
      <color rgb="FF2E7D32"/>
      <name val="Arial"/>
      <charset val="1"/>
    </font>
    <font>
      <sz val="9"/>
      <color rgb="FF1A2535"/>
      <name val="Arial"/>
      <charset val="1"/>
    </font>
    <font>
      <b/>
      <sz val="9"/>
      <color rgb="FFB71C1C"/>
      <name val="Arial"/>
      <charset val="1"/>
    </font>
    <font>
      <b/>
      <sz val="10"/>
      <color rgb="FF1A2535"/>
      <name val="Arial"/>
      <charset val="1"/>
    </font>
    <font>
      <sz val="10"/>
      <color rgb="FF1A2535"/>
      <name val="Arial"/>
      <charset val="1"/>
    </font>
    <font>
      <b/>
      <sz val="11"/>
      <color rgb="FFFFFFFF"/>
      <name val="Arial"/>
      <charset val="1"/>
    </font>
    <font>
      <b/>
      <sz val="16"/>
      <color rgb="FFFFFFFF"/>
      <name val="Arial"/>
      <charset val="1"/>
    </font>
    <font>
      <i/>
      <sz val="10"/>
      <color rgb="FF90CAF9"/>
      <name val="Arial"/>
      <charset val="1"/>
    </font>
    <font>
      <b/>
      <sz val="22"/>
      <color rgb="FF2E7D32"/>
      <name val="Arial"/>
      <charset val="1"/>
    </font>
    <font>
      <b/>
      <sz val="22"/>
      <color rgb="FFB71C1C"/>
      <name val="Arial"/>
      <charset val="1"/>
    </font>
    <font>
      <b/>
      <sz val="20"/>
      <color rgb="FF6A1B9A"/>
      <name val="Arial"/>
      <charset val="1"/>
    </font>
    <font>
      <b/>
      <sz val="20"/>
      <color rgb="FFF57F17"/>
      <name val="Arial"/>
      <charset val="1"/>
    </font>
    <font>
      <b/>
      <sz val="20"/>
      <color rgb="FF0D47A1"/>
      <name val="Arial"/>
      <charset val="1"/>
    </font>
    <font>
      <b/>
      <sz val="20"/>
      <color rgb="FFFFFFFF"/>
      <name val="Arial"/>
      <charset val="1"/>
    </font>
    <font>
      <b/>
      <sz val="9"/>
      <color rgb="FFFFFFFF"/>
      <name val="Arial"/>
      <charset val="1"/>
    </font>
    <font>
      <b/>
      <sz val="22"/>
      <color rgb="FF00695C"/>
      <name val="Arial"/>
      <charset val="1"/>
    </font>
    <font>
      <b/>
      <sz val="22"/>
      <color rgb="FF6A1B9A"/>
      <name val="Arial"/>
      <charset val="1"/>
    </font>
    <font>
      <b/>
      <sz val="22"/>
      <color rgb="FFF57F17"/>
      <name val="Arial"/>
      <charset val="1"/>
    </font>
    <font>
      <b/>
      <sz val="12"/>
      <color rgb="FFFFFFFF"/>
      <name val="Arial"/>
      <charset val="1"/>
    </font>
    <font>
      <b/>
      <sz val="10"/>
      <color rgb="FF2E7D32"/>
      <name val="Arial"/>
      <charset val="1"/>
    </font>
    <font>
      <b/>
      <sz val="10"/>
      <color rgb="FFB71C1C"/>
      <name val="Arial"/>
      <charset val="1"/>
    </font>
    <font>
      <b/>
      <sz val="10"/>
      <color rgb="FF00695C"/>
      <name val="Arial"/>
      <charset val="1"/>
    </font>
    <font>
      <b/>
      <sz val="10"/>
      <color rgb="FF6A1B9A"/>
      <name val="Arial"/>
      <charset val="1"/>
    </font>
    <font>
      <b/>
      <sz val="10"/>
      <color rgb="FFF57F17"/>
      <name val="Arial"/>
      <charset val="1"/>
    </font>
    <font>
      <b/>
      <sz val="10"/>
      <color rgb="FFE65100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0D47A1"/>
        <bgColor rgb="FF1565C0"/>
      </patternFill>
    </fill>
    <fill>
      <patternFill patternType="solid">
        <fgColor rgb="FF1565C0"/>
        <bgColor rgb="FF1976D2"/>
      </patternFill>
    </fill>
    <fill>
      <patternFill patternType="solid">
        <fgColor rgb="FFFFFFFF"/>
        <bgColor rgb="FFF9F9F9"/>
      </patternFill>
    </fill>
    <fill>
      <patternFill patternType="solid">
        <fgColor rgb="FFEEF2F7"/>
        <bgColor rgb="FFE8F5E9"/>
      </patternFill>
    </fill>
    <fill>
      <patternFill patternType="solid">
        <fgColor rgb="FFC62828"/>
        <bgColor rgb="FFD32F2F"/>
      </patternFill>
    </fill>
    <fill>
      <patternFill patternType="solid">
        <fgColor rgb="FF1A2535"/>
        <bgColor rgb="FF263238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EEF2F7"/>
      </patternFill>
    </fill>
    <fill>
      <patternFill patternType="solid">
        <fgColor rgb="FFB71C1C"/>
        <bgColor rgb="FFC62828"/>
      </patternFill>
    </fill>
    <fill>
      <patternFill patternType="solid">
        <fgColor rgb="FFFFEBEE"/>
        <bgColor rgb="FFF3E5F5"/>
      </patternFill>
    </fill>
    <fill>
      <patternFill patternType="solid">
        <fgColor rgb="FF00695C"/>
        <bgColor rgb="FF1B5E20"/>
      </patternFill>
    </fill>
    <fill>
      <patternFill patternType="solid">
        <fgColor rgb="FF6A1B9A"/>
        <bgColor rgb="FF4A148C"/>
      </patternFill>
    </fill>
    <fill>
      <patternFill patternType="solid">
        <fgColor rgb="FFF57F17"/>
        <bgColor rgb="FFFF8080"/>
      </patternFill>
    </fill>
    <fill>
      <patternFill patternType="solid">
        <fgColor rgb="FFF3E5F5"/>
        <bgColor rgb="FFFFEBEE"/>
      </patternFill>
    </fill>
    <fill>
      <patternFill patternType="solid">
        <fgColor rgb="FFFFF8E1"/>
        <bgColor rgb="FFF9F9F9"/>
      </patternFill>
    </fill>
    <fill>
      <patternFill patternType="solid">
        <fgColor rgb="FFE3F2FD"/>
        <bgColor rgb="FFE0F7FA"/>
      </patternFill>
    </fill>
    <fill>
      <patternFill patternType="solid">
        <fgColor rgb="FFE0F7FA"/>
        <bgColor rgb="FFE3F2FD"/>
      </patternFill>
    </fill>
    <fill>
      <patternFill patternType="solid">
        <fgColor rgb="FF1976D2"/>
        <bgColor rgb="FF1565C0"/>
      </patternFill>
    </fill>
    <fill>
      <patternFill patternType="solid">
        <fgColor rgb="FFD32F2F"/>
        <bgColor rgb="FFC62828"/>
      </patternFill>
    </fill>
    <fill>
      <patternFill patternType="solid">
        <fgColor rgb="FF4A148C"/>
        <bgColor rgb="FF6A1B9A"/>
      </patternFill>
    </fill>
    <fill>
      <patternFill patternType="solid">
        <fgColor rgb="FF1B5E20"/>
        <bgColor rgb="FF00695C"/>
      </patternFill>
    </fill>
  </fills>
  <borders count="6">
    <border>
      <left/>
      <right/>
      <top/>
      <bottom/>
      <diagonal/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medium">
        <color rgb="FF90A4AE"/>
      </left>
      <right style="medium">
        <color rgb="FF90A4AE"/>
      </right>
      <top style="medium">
        <color rgb="FF90A4AE"/>
      </top>
      <bottom style="medium">
        <color rgb="FF90A4AE"/>
      </bottom>
      <diagonal/>
    </border>
    <border>
      <left style="medium">
        <color rgb="FF90A4AE"/>
      </left>
      <right/>
      <top style="medium">
        <color rgb="FF90A4AE"/>
      </top>
      <bottom style="medium">
        <color rgb="FF90A4AE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64" fontId="9" fillId="7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/>
    <xf numFmtId="0" fontId="18" fillId="19" borderId="2" xfId="0" applyFont="1" applyFill="1" applyBorder="1" applyAlignment="1">
      <alignment horizontal="center" vertical="center"/>
    </xf>
    <xf numFmtId="0" fontId="18" fillId="20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164" fontId="23" fillId="5" borderId="2" xfId="0" applyNumberFormat="1" applyFont="1" applyFill="1" applyBorder="1" applyAlignment="1">
      <alignment horizontal="center" vertical="center"/>
    </xf>
    <xf numFmtId="164" fontId="24" fillId="5" borderId="2" xfId="0" applyNumberFormat="1" applyFont="1" applyFill="1" applyBorder="1" applyAlignment="1">
      <alignment horizontal="center" vertical="center"/>
    </xf>
    <xf numFmtId="164" fontId="25" fillId="5" borderId="2" xfId="0" applyNumberFormat="1" applyFont="1" applyFill="1" applyBorder="1" applyAlignment="1">
      <alignment horizontal="center" vertical="center"/>
    </xf>
    <xf numFmtId="165" fontId="26" fillId="5" borderId="2" xfId="0" applyNumberFormat="1" applyFont="1" applyFill="1" applyBorder="1" applyAlignment="1">
      <alignment horizontal="center" vertical="center"/>
    </xf>
    <xf numFmtId="166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165" fontId="8" fillId="5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164" fontId="23" fillId="4" borderId="2" xfId="0" applyNumberFormat="1" applyFont="1" applyFill="1" applyBorder="1" applyAlignment="1">
      <alignment horizontal="center" vertical="center"/>
    </xf>
    <xf numFmtId="164" fontId="24" fillId="4" borderId="2" xfId="0" applyNumberFormat="1" applyFont="1" applyFill="1" applyBorder="1" applyAlignment="1">
      <alignment horizontal="center" vertical="center"/>
    </xf>
    <xf numFmtId="164" fontId="25" fillId="4" borderId="2" xfId="0" applyNumberFormat="1" applyFont="1" applyFill="1" applyBorder="1" applyAlignment="1">
      <alignment horizontal="center" vertical="center"/>
    </xf>
    <xf numFmtId="165" fontId="26" fillId="4" borderId="2" xfId="0" applyNumberFormat="1" applyFont="1" applyFill="1" applyBorder="1" applyAlignment="1">
      <alignment horizontal="center" vertical="center"/>
    </xf>
    <xf numFmtId="166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165" fontId="8" fillId="4" borderId="2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164" fontId="2" fillId="7" borderId="3" xfId="0" applyNumberFormat="1" applyFont="1" applyFill="1" applyBorder="1" applyAlignment="1">
      <alignment horizontal="center" vertical="center"/>
    </xf>
    <xf numFmtId="165" fontId="2" fillId="7" borderId="3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 wrapText="1"/>
    </xf>
    <xf numFmtId="0" fontId="28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 wrapText="1"/>
    </xf>
    <xf numFmtId="0" fontId="27" fillId="5" borderId="5" xfId="0" applyFont="1" applyFill="1" applyBorder="1" applyAlignment="1">
      <alignment horizontal="left" vertical="center"/>
    </xf>
    <xf numFmtId="0" fontId="23" fillId="4" borderId="5" xfId="0" applyFont="1" applyFill="1" applyBorder="1" applyAlignment="1">
      <alignment horizontal="left" vertical="center"/>
    </xf>
    <xf numFmtId="0" fontId="25" fillId="5" borderId="5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left" vertical="center"/>
    </xf>
    <xf numFmtId="0" fontId="22" fillId="6" borderId="0" xfId="0" applyFont="1" applyFill="1" applyBorder="1" applyAlignment="1">
      <alignment horizontal="left" vertical="center"/>
    </xf>
    <xf numFmtId="0" fontId="22" fillId="21" borderId="0" xfId="0" applyFont="1" applyFill="1" applyBorder="1" applyAlignment="1">
      <alignment horizontal="left" vertical="center"/>
    </xf>
    <xf numFmtId="0" fontId="24" fillId="4" borderId="5" xfId="0" applyFont="1" applyFill="1" applyBorder="1" applyAlignment="1">
      <alignment horizontal="left" vertical="center"/>
    </xf>
    <xf numFmtId="164" fontId="12" fillId="9" borderId="4" xfId="0" applyNumberFormat="1" applyFont="1" applyFill="1" applyBorder="1" applyAlignment="1">
      <alignment horizontal="center" vertical="center"/>
    </xf>
    <xf numFmtId="164" fontId="13" fillId="11" borderId="4" xfId="0" applyNumberFormat="1" applyFont="1" applyFill="1" applyBorder="1" applyAlignment="1">
      <alignment horizontal="center" vertical="center"/>
    </xf>
    <xf numFmtId="164" fontId="19" fillId="18" borderId="4" xfId="0" applyNumberFormat="1" applyFont="1" applyFill="1" applyBorder="1" applyAlignment="1">
      <alignment horizontal="center" vertical="center"/>
    </xf>
    <xf numFmtId="165" fontId="20" fillId="15" borderId="4" xfId="0" applyNumberFormat="1" applyFont="1" applyFill="1" applyBorder="1" applyAlignment="1">
      <alignment horizontal="center" vertical="center"/>
    </xf>
    <xf numFmtId="3" fontId="21" fillId="16" borderId="4" xfId="0" applyNumberFormat="1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 vertical="center"/>
    </xf>
    <xf numFmtId="0" fontId="18" fillId="14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65" fontId="14" fillId="15" borderId="3" xfId="0" applyNumberFormat="1" applyFont="1" applyFill="1" applyBorder="1" applyAlignment="1">
      <alignment horizontal="center" vertical="center"/>
    </xf>
    <xf numFmtId="164" fontId="15" fillId="16" borderId="3" xfId="0" applyNumberFormat="1" applyFont="1" applyFill="1" applyBorder="1" applyAlignment="1">
      <alignment horizontal="center" vertical="center"/>
    </xf>
    <xf numFmtId="3" fontId="16" fillId="17" borderId="3" xfId="0" applyNumberFormat="1" applyFont="1" applyFill="1" applyBorder="1" applyAlignment="1">
      <alignment horizontal="center" vertical="center"/>
    </xf>
    <xf numFmtId="164" fontId="13" fillId="11" borderId="3" xfId="0" applyNumberFormat="1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164" fontId="12" fillId="9" borderId="3" xfId="0" applyNumberFormat="1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32F2F"/>
      <rgbColor rgb="FF00FF00"/>
      <rgbColor rgb="FF0000FF"/>
      <rgbColor rgb="FFFFFF00"/>
      <rgbColor rgb="FFFF00FF"/>
      <rgbColor rgb="FF00FFFF"/>
      <rgbColor rgb="FFB71C1C"/>
      <rgbColor rgb="FF1B5E20"/>
      <rgbColor rgb="FF000080"/>
      <rgbColor rgb="FF808000"/>
      <rgbColor rgb="FF6A1B9A"/>
      <rgbColor rgb="FF00695C"/>
      <rgbColor rgb="FFB0BEC5"/>
      <rgbColor rgb="FF878787"/>
      <rgbColor rgb="FF9999FF"/>
      <rgbColor rgb="FFC0504D"/>
      <rgbColor rgb="FFFFF8E1"/>
      <rgbColor rgb="FFE0F7FA"/>
      <rgbColor rgb="FF4A148C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3F2FD"/>
      <rgbColor rgb="FFE8F5E9"/>
      <rgbColor rgb="FFFFEBEE"/>
      <rgbColor rgb="FF90CAF9"/>
      <rgbColor rgb="FFEEF2F7"/>
      <rgbColor rgb="FFF9F9F9"/>
      <rgbColor rgb="FFF3E5F5"/>
      <rgbColor rgb="FF1976D2"/>
      <rgbColor rgb="FF33CCCC"/>
      <rgbColor rgb="FF9BBB59"/>
      <rgbColor rgb="FFFFCC00"/>
      <rgbColor rgb="FFF57F17"/>
      <rgbColor rgb="FFE65100"/>
      <rgbColor rgb="FF455A64"/>
      <rgbColor rgb="FF90A4AE"/>
      <rgbColor rgb="FF1A2535"/>
      <rgbColor rgb="FF2E7D32"/>
      <rgbColor rgb="FF003300"/>
      <rgbColor rgb="FF333300"/>
      <rgbColor rgb="FFBF360C"/>
      <rgbColor rgb="FFC62828"/>
      <rgbColor rgb="FF0D47A1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Income vs Expense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Analysis'!B2</c:f>
              <c:strCache>
                <c:ptCount val="1"/>
                <c:pt idx="0">
                  <c:v>Total Income</c:v>
                </c:pt>
              </c:strCache>
            </c:strRef>
          </c:tx>
          <c:spPr>
            <a:ln w="2484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Analysis'!$A$3:$A$6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'Monthly Analysis'!$B$3:$B$6</c:f>
              <c:numCache>
                <c:formatCode>\₹#,##0</c:formatCode>
                <c:ptCount val="4"/>
                <c:pt idx="0">
                  <c:v>206252</c:v>
                </c:pt>
                <c:pt idx="1">
                  <c:v>310740</c:v>
                </c:pt>
                <c:pt idx="2">
                  <c:v>225210</c:v>
                </c:pt>
                <c:pt idx="3">
                  <c:v>134166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62-8C4B-BDB3-E02CB887B498}"/>
            </c:ext>
          </c:extLst>
        </c:ser>
        <c:ser>
          <c:idx val="1"/>
          <c:order val="1"/>
          <c:tx>
            <c:strRef>
              <c:f>'Monthly Analysis'!C2</c:f>
              <c:strCache>
                <c:ptCount val="1"/>
                <c:pt idx="0">
                  <c:v>Total Expense</c:v>
                </c:pt>
              </c:strCache>
            </c:strRef>
          </c:tx>
          <c:spPr>
            <a:ln w="24840">
              <a:solidFill>
                <a:srgbClr val="B71C1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Analysis'!$A$3:$A$6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'Monthly Analysis'!$C$3:$C$6</c:f>
              <c:numCache>
                <c:formatCode>\₹#,##0</c:formatCode>
                <c:ptCount val="4"/>
                <c:pt idx="0">
                  <c:v>79274</c:v>
                </c:pt>
                <c:pt idx="1">
                  <c:v>55650</c:v>
                </c:pt>
                <c:pt idx="2">
                  <c:v>111140</c:v>
                </c:pt>
                <c:pt idx="3">
                  <c:v>23397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62-8C4B-BDB3-E02CB887B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727330"/>
        <c:axId val="42453873"/>
      </c:lineChart>
      <c:catAx>
        <c:axId val="197273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453873"/>
        <c:crosses val="autoZero"/>
        <c:auto val="1"/>
        <c:lblAlgn val="ctr"/>
        <c:lblOffset val="100"/>
        <c:noMultiLvlLbl val="0"/>
      </c:catAx>
      <c:valAx>
        <c:axId val="424538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7273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Expense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Analysis'!H2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rgbClr val="C6282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Analysis'!$G$3:$G$8</c:f>
              <c:strCache>
                <c:ptCount val="6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Rent</c:v>
                </c:pt>
                <c:pt idx="4">
                  <c:v>EMI</c:v>
                </c:pt>
                <c:pt idx="5">
                  <c:v>Bills</c:v>
                </c:pt>
              </c:strCache>
            </c:strRef>
          </c:cat>
          <c:val>
            <c:numRef>
              <c:f>'Monthly Analysis'!$H$3:$H$8</c:f>
              <c:numCache>
                <c:formatCode>\₹#,##0</c:formatCode>
                <c:ptCount val="6"/>
                <c:pt idx="0">
                  <c:v>46266</c:v>
                </c:pt>
                <c:pt idx="1">
                  <c:v>48174</c:v>
                </c:pt>
                <c:pt idx="2">
                  <c:v>47042</c:v>
                </c:pt>
                <c:pt idx="3">
                  <c:v>49757</c:v>
                </c:pt>
                <c:pt idx="4">
                  <c:v>43059</c:v>
                </c:pt>
                <c:pt idx="5">
                  <c:v>35163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A-E949-9D96-6851CE125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63"/>
        <c:axId val="49657460"/>
      </c:barChart>
      <c:catAx>
        <c:axId val="675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657460"/>
        <c:crosses val="autoZero"/>
        <c:auto val="1"/>
        <c:lblAlgn val="ctr"/>
        <c:lblOffset val="100"/>
        <c:noMultiLvlLbl val="0"/>
      </c:catAx>
      <c:valAx>
        <c:axId val="496574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5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Income Sources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'Monthly Analysis'!L2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'Monthly Analysis'!$K$3:$K$5</c:f>
              <c:strCache>
                <c:ptCount val="3"/>
                <c:pt idx="0">
                  <c:v>Salary</c:v>
                </c:pt>
                <c:pt idx="1">
                  <c:v>Business</c:v>
                </c:pt>
                <c:pt idx="2">
                  <c:v>Freelance</c:v>
                </c:pt>
              </c:strCache>
            </c:strRef>
          </c:cat>
          <c:val>
            <c:numRef>
              <c:f>'Monthly Analysis'!$L$3:$L$5</c:f>
              <c:numCache>
                <c:formatCode>\₹#,##0</c:formatCode>
                <c:ptCount val="3"/>
                <c:pt idx="0">
                  <c:v>317953</c:v>
                </c:pt>
                <c:pt idx="1">
                  <c:v>307424</c:v>
                </c:pt>
                <c:pt idx="2">
                  <c:v>250991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6-F64E-98FF-EC2251DEF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996840</xdr:colOff>
      <xdr:row>33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11</xdr:row>
      <xdr:rowOff>0</xdr:rowOff>
    </xdr:from>
    <xdr:to>
      <xdr:col>13</xdr:col>
      <xdr:colOff>299520</xdr:colOff>
      <xdr:row>33</xdr:row>
      <xdr:rowOff>128880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11</xdr:row>
      <xdr:rowOff>0</xdr:rowOff>
    </xdr:from>
    <xdr:to>
      <xdr:col>16</xdr:col>
      <xdr:colOff>479160</xdr:colOff>
      <xdr:row>33</xdr:row>
      <xdr:rowOff>128880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2:L102" totalsRowShown="0">
  <autoFilter ref="A2:L102" xr:uid="{00000000-0009-0000-0100-000001000000}"/>
  <tableColumns count="12">
    <tableColumn id="1" xr3:uid="{00000000-0010-0000-0000-000001000000}" name="Date"/>
    <tableColumn id="2" xr3:uid="{00000000-0010-0000-0000-000002000000}" name="Month"/>
    <tableColumn id="3" xr3:uid="{00000000-0010-0000-0000-000003000000}" name="Income Source"/>
    <tableColumn id="4" xr3:uid="{00000000-0010-0000-0000-000004000000}" name="Expense Category"/>
    <tableColumn id="5" xr3:uid="{00000000-0010-0000-0000-000005000000}" name="Expense Type"/>
    <tableColumn id="6" xr3:uid="{00000000-0010-0000-0000-000006000000}" name="Payment Mode"/>
    <tableColumn id="7" xr3:uid="{00000000-0010-0000-0000-000007000000}" name="Amount"/>
    <tableColumn id="8" xr3:uid="{00000000-0010-0000-0000-000008000000}" name="Indicator"/>
    <tableColumn id="9" xr3:uid="{00000000-0010-0000-0000-000009000000}" name="Savings"/>
    <tableColumn id="10" xr3:uid="{00000000-0010-0000-0000-00000A000000}" name="Budget Allocated"/>
    <tableColumn id="11" xr3:uid="{00000000-0010-0000-0000-00000B000000}" name="Budget Remaining"/>
    <tableColumn id="12" xr3:uid="{00000000-0010-0000-0000-00000C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148C"/>
  </sheetPr>
  <dimension ref="A1:L102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11.97265625" customWidth="1"/>
    <col min="2" max="2" width="7.93359375" customWidth="1"/>
    <col min="3" max="3" width="13.98828125" customWidth="1"/>
    <col min="4" max="4" width="16.0078125" customWidth="1"/>
    <col min="5" max="6" width="13.046875" customWidth="1"/>
    <col min="7" max="9" width="9.953125" customWidth="1"/>
    <col min="10" max="10" width="14.9296875" customWidth="1"/>
    <col min="11" max="11" width="16.0078125" customWidth="1"/>
    <col min="12" max="12" width="13.98828125" customWidth="1"/>
  </cols>
  <sheetData>
    <row r="1" spans="1:12" ht="30" customHeight="1" x14ac:dyDescent="0.2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ht="24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">
      <c r="A3" s="2" t="s">
        <v>13</v>
      </c>
      <c r="B3" s="2" t="s">
        <v>14</v>
      </c>
      <c r="C3" s="2" t="s">
        <v>15</v>
      </c>
      <c r="D3" s="2"/>
      <c r="E3" s="2" t="s">
        <v>16</v>
      </c>
      <c r="F3" s="2" t="s">
        <v>17</v>
      </c>
      <c r="G3" s="3">
        <v>18982</v>
      </c>
      <c r="H3" s="3" t="s">
        <v>18</v>
      </c>
      <c r="I3" s="2"/>
      <c r="J3" s="2">
        <v>10000</v>
      </c>
      <c r="K3" s="4" t="str">
        <f>IF(H3="Expense",J3-G3,"N/A")</f>
        <v>N/A</v>
      </c>
      <c r="L3" s="2"/>
    </row>
    <row r="4" spans="1:12" x14ac:dyDescent="0.2">
      <c r="A4" s="5" t="s">
        <v>19</v>
      </c>
      <c r="B4" s="5" t="s">
        <v>14</v>
      </c>
      <c r="C4" s="5"/>
      <c r="D4" s="5" t="s">
        <v>20</v>
      </c>
      <c r="E4" s="5" t="s">
        <v>16</v>
      </c>
      <c r="F4" s="5" t="s">
        <v>21</v>
      </c>
      <c r="G4" s="6">
        <v>5977</v>
      </c>
      <c r="H4" s="6" t="s">
        <v>22</v>
      </c>
      <c r="I4" s="5"/>
      <c r="J4" s="5">
        <v>10000</v>
      </c>
      <c r="K4" s="7">
        <f>IF(H4="Expense",J4-G4,"N/A")</f>
        <v>4023</v>
      </c>
      <c r="L4" s="5"/>
    </row>
    <row r="5" spans="1:12" x14ac:dyDescent="0.2">
      <c r="A5" s="2" t="s">
        <v>23</v>
      </c>
      <c r="B5" s="2" t="s">
        <v>14</v>
      </c>
      <c r="C5" s="2"/>
      <c r="D5" s="2" t="s">
        <v>24</v>
      </c>
      <c r="E5" s="2" t="s">
        <v>16</v>
      </c>
      <c r="F5" s="2" t="s">
        <v>25</v>
      </c>
      <c r="G5" s="8">
        <v>7197</v>
      </c>
      <c r="H5" s="8" t="s">
        <v>22</v>
      </c>
      <c r="I5" s="2"/>
      <c r="J5" s="2">
        <v>10000</v>
      </c>
      <c r="K5" s="4">
        <f>IF(H5="Expense",J5-G5,"N/A")</f>
        <v>2803</v>
      </c>
      <c r="L5" s="2"/>
    </row>
    <row r="6" spans="1:12" x14ac:dyDescent="0.2">
      <c r="A6" s="5" t="s">
        <v>26</v>
      </c>
      <c r="B6" s="5" t="s">
        <v>14</v>
      </c>
      <c r="C6" s="5" t="s">
        <v>27</v>
      </c>
      <c r="D6" s="5"/>
      <c r="E6" s="5" t="s">
        <v>16</v>
      </c>
      <c r="F6" s="5" t="s">
        <v>28</v>
      </c>
      <c r="G6" s="9">
        <v>7664</v>
      </c>
      <c r="H6" s="9" t="s">
        <v>18</v>
      </c>
      <c r="I6" s="5"/>
      <c r="J6" s="5">
        <v>10000</v>
      </c>
      <c r="K6" s="7" t="str">
        <f>IF(H6="Expense",J6-G6,"N/A")</f>
        <v>N/A</v>
      </c>
      <c r="L6" s="5"/>
    </row>
    <row r="7" spans="1:12" x14ac:dyDescent="0.2">
      <c r="A7" s="2" t="s">
        <v>29</v>
      </c>
      <c r="B7" s="2" t="s">
        <v>14</v>
      </c>
      <c r="C7" s="2"/>
      <c r="D7" s="2" t="s">
        <v>30</v>
      </c>
      <c r="E7" s="2" t="s">
        <v>16</v>
      </c>
      <c r="F7" s="2" t="s">
        <v>28</v>
      </c>
      <c r="G7" s="8">
        <v>7798</v>
      </c>
      <c r="H7" s="8" t="s">
        <v>22</v>
      </c>
      <c r="I7" s="2"/>
      <c r="J7" s="2">
        <v>10000</v>
      </c>
      <c r="K7" s="4">
        <f>IF(H7="Expense",J7-G7,"N/A")</f>
        <v>2202</v>
      </c>
      <c r="L7" s="2"/>
    </row>
    <row r="8" spans="1:12" x14ac:dyDescent="0.2">
      <c r="A8" s="5" t="s">
        <v>31</v>
      </c>
      <c r="B8" s="5" t="s">
        <v>14</v>
      </c>
      <c r="C8" s="5"/>
      <c r="D8" s="5" t="s">
        <v>20</v>
      </c>
      <c r="E8" s="5" t="s">
        <v>16</v>
      </c>
      <c r="F8" s="5" t="s">
        <v>25</v>
      </c>
      <c r="G8" s="6">
        <v>3186</v>
      </c>
      <c r="H8" s="6" t="s">
        <v>22</v>
      </c>
      <c r="I8" s="5"/>
      <c r="J8" s="5">
        <v>10000</v>
      </c>
      <c r="K8" s="7">
        <f>IF(H8="Expense",J8-G8,"N/A")</f>
        <v>6814</v>
      </c>
      <c r="L8" s="5"/>
    </row>
    <row r="9" spans="1:12" x14ac:dyDescent="0.2">
      <c r="A9" s="2" t="s">
        <v>32</v>
      </c>
      <c r="B9" s="2" t="s">
        <v>14</v>
      </c>
      <c r="C9" s="2" t="s">
        <v>27</v>
      </c>
      <c r="D9" s="2"/>
      <c r="E9" s="2" t="s">
        <v>16</v>
      </c>
      <c r="F9" s="2" t="s">
        <v>25</v>
      </c>
      <c r="G9" s="3">
        <v>23666</v>
      </c>
      <c r="H9" s="3" t="s">
        <v>18</v>
      </c>
      <c r="I9" s="2"/>
      <c r="J9" s="2">
        <v>10000</v>
      </c>
      <c r="K9" s="4" t="str">
        <f>IF(H9="Expense",J9-G9,"N/A")</f>
        <v>N/A</v>
      </c>
      <c r="L9" s="2"/>
    </row>
    <row r="10" spans="1:12" x14ac:dyDescent="0.2">
      <c r="A10" s="5" t="s">
        <v>33</v>
      </c>
      <c r="B10" s="5" t="s">
        <v>14</v>
      </c>
      <c r="C10" s="5" t="s">
        <v>27</v>
      </c>
      <c r="D10" s="5"/>
      <c r="E10" s="5" t="s">
        <v>16</v>
      </c>
      <c r="F10" s="5" t="s">
        <v>28</v>
      </c>
      <c r="G10" s="9">
        <v>23532</v>
      </c>
      <c r="H10" s="9" t="s">
        <v>18</v>
      </c>
      <c r="I10" s="5"/>
      <c r="J10" s="5">
        <v>10000</v>
      </c>
      <c r="K10" s="7" t="str">
        <f>IF(H10="Expense",J10-G10,"N/A")</f>
        <v>N/A</v>
      </c>
      <c r="L10" s="5"/>
    </row>
    <row r="11" spans="1:12" x14ac:dyDescent="0.2">
      <c r="A11" s="2" t="s">
        <v>34</v>
      </c>
      <c r="B11" s="2" t="s">
        <v>14</v>
      </c>
      <c r="C11" s="2"/>
      <c r="D11" s="2" t="s">
        <v>30</v>
      </c>
      <c r="E11" s="2" t="s">
        <v>16</v>
      </c>
      <c r="F11" s="2" t="s">
        <v>21</v>
      </c>
      <c r="G11" s="8">
        <v>2329</v>
      </c>
      <c r="H11" s="8" t="s">
        <v>22</v>
      </c>
      <c r="I11" s="2"/>
      <c r="J11" s="2">
        <v>10000</v>
      </c>
      <c r="K11" s="4">
        <f>IF(H11="Expense",J11-G11,"N/A")</f>
        <v>7671</v>
      </c>
      <c r="L11" s="2"/>
    </row>
    <row r="12" spans="1:12" x14ac:dyDescent="0.2">
      <c r="A12" s="5" t="s">
        <v>35</v>
      </c>
      <c r="B12" s="5" t="s">
        <v>14</v>
      </c>
      <c r="C12" s="5" t="s">
        <v>15</v>
      </c>
      <c r="D12" s="5"/>
      <c r="E12" s="5" t="s">
        <v>16</v>
      </c>
      <c r="F12" s="5" t="s">
        <v>28</v>
      </c>
      <c r="G12" s="9">
        <v>7171</v>
      </c>
      <c r="H12" s="9" t="s">
        <v>18</v>
      </c>
      <c r="I12" s="5"/>
      <c r="J12" s="5">
        <v>10000</v>
      </c>
      <c r="K12" s="7" t="str">
        <f>IF(H12="Expense",J12-G12,"N/A")</f>
        <v>N/A</v>
      </c>
      <c r="L12" s="5"/>
    </row>
    <row r="13" spans="1:12" x14ac:dyDescent="0.2">
      <c r="A13" s="2" t="s">
        <v>36</v>
      </c>
      <c r="B13" s="2" t="s">
        <v>14</v>
      </c>
      <c r="C13" s="2" t="s">
        <v>15</v>
      </c>
      <c r="D13" s="2"/>
      <c r="E13" s="2" t="s">
        <v>16</v>
      </c>
      <c r="F13" s="2" t="s">
        <v>21</v>
      </c>
      <c r="G13" s="3">
        <v>11356</v>
      </c>
      <c r="H13" s="3" t="s">
        <v>18</v>
      </c>
      <c r="I13" s="2"/>
      <c r="J13" s="2">
        <v>10000</v>
      </c>
      <c r="K13" s="4" t="str">
        <f>IF(H13="Expense",J13-G13,"N/A")</f>
        <v>N/A</v>
      </c>
      <c r="L13" s="2"/>
    </row>
    <row r="14" spans="1:12" x14ac:dyDescent="0.2">
      <c r="A14" s="5" t="s">
        <v>37</v>
      </c>
      <c r="B14" s="5" t="s">
        <v>14</v>
      </c>
      <c r="C14" s="5" t="s">
        <v>38</v>
      </c>
      <c r="D14" s="5"/>
      <c r="E14" s="5" t="s">
        <v>16</v>
      </c>
      <c r="F14" s="5" t="s">
        <v>28</v>
      </c>
      <c r="G14" s="9">
        <v>14668</v>
      </c>
      <c r="H14" s="9" t="s">
        <v>18</v>
      </c>
      <c r="I14" s="5"/>
      <c r="J14" s="5">
        <v>10000</v>
      </c>
      <c r="K14" s="7" t="str">
        <f>IF(H14="Expense",J14-G14,"N/A")</f>
        <v>N/A</v>
      </c>
      <c r="L14" s="5"/>
    </row>
    <row r="15" spans="1:12" x14ac:dyDescent="0.2">
      <c r="A15" s="2" t="s">
        <v>39</v>
      </c>
      <c r="B15" s="2" t="s">
        <v>14</v>
      </c>
      <c r="C15" s="2"/>
      <c r="D15" s="2" t="s">
        <v>40</v>
      </c>
      <c r="E15" s="2" t="s">
        <v>16</v>
      </c>
      <c r="F15" s="2" t="s">
        <v>21</v>
      </c>
      <c r="G15" s="8">
        <v>3070</v>
      </c>
      <c r="H15" s="8" t="s">
        <v>22</v>
      </c>
      <c r="I15" s="2"/>
      <c r="J15" s="2">
        <v>10000</v>
      </c>
      <c r="K15" s="4">
        <f>IF(H15="Expense",J15-G15,"N/A")</f>
        <v>6930</v>
      </c>
      <c r="L15" s="2"/>
    </row>
    <row r="16" spans="1:12" x14ac:dyDescent="0.2">
      <c r="A16" s="5" t="s">
        <v>41</v>
      </c>
      <c r="B16" s="5" t="s">
        <v>14</v>
      </c>
      <c r="C16" s="5"/>
      <c r="D16" s="5" t="s">
        <v>42</v>
      </c>
      <c r="E16" s="5" t="s">
        <v>16</v>
      </c>
      <c r="F16" s="5" t="s">
        <v>17</v>
      </c>
      <c r="G16" s="6">
        <v>1086</v>
      </c>
      <c r="H16" s="6" t="s">
        <v>22</v>
      </c>
      <c r="I16" s="5"/>
      <c r="J16" s="5">
        <v>10000</v>
      </c>
      <c r="K16" s="7">
        <f>IF(H16="Expense",J16-G16,"N/A")</f>
        <v>8914</v>
      </c>
      <c r="L16" s="5"/>
    </row>
    <row r="17" spans="1:12" x14ac:dyDescent="0.2">
      <c r="A17" s="2" t="s">
        <v>43</v>
      </c>
      <c r="B17" s="2" t="s">
        <v>14</v>
      </c>
      <c r="C17" s="2" t="s">
        <v>27</v>
      </c>
      <c r="D17" s="2"/>
      <c r="E17" s="2" t="s">
        <v>16</v>
      </c>
      <c r="F17" s="2" t="s">
        <v>25</v>
      </c>
      <c r="G17" s="3">
        <v>9129</v>
      </c>
      <c r="H17" s="3" t="s">
        <v>18</v>
      </c>
      <c r="I17" s="2"/>
      <c r="J17" s="2">
        <v>10000</v>
      </c>
      <c r="K17" s="4" t="str">
        <f>IF(H17="Expense",J17-G17,"N/A")</f>
        <v>N/A</v>
      </c>
      <c r="L17" s="2"/>
    </row>
    <row r="18" spans="1:12" x14ac:dyDescent="0.2">
      <c r="A18" s="5" t="s">
        <v>44</v>
      </c>
      <c r="B18" s="5" t="s">
        <v>14</v>
      </c>
      <c r="C18" s="5"/>
      <c r="D18" s="5" t="s">
        <v>42</v>
      </c>
      <c r="E18" s="5" t="s">
        <v>16</v>
      </c>
      <c r="F18" s="5" t="s">
        <v>17</v>
      </c>
      <c r="G18" s="6">
        <v>3572</v>
      </c>
      <c r="H18" s="6" t="s">
        <v>22</v>
      </c>
      <c r="I18" s="5"/>
      <c r="J18" s="5">
        <v>10000</v>
      </c>
      <c r="K18" s="7">
        <f>IF(H18="Expense",J18-G18,"N/A")</f>
        <v>6428</v>
      </c>
      <c r="L18" s="5"/>
    </row>
    <row r="19" spans="1:12" x14ac:dyDescent="0.2">
      <c r="A19" s="2" t="s">
        <v>45</v>
      </c>
      <c r="B19" s="2" t="s">
        <v>14</v>
      </c>
      <c r="C19" s="2"/>
      <c r="D19" s="2" t="s">
        <v>46</v>
      </c>
      <c r="E19" s="2" t="s">
        <v>47</v>
      </c>
      <c r="F19" s="2" t="s">
        <v>17</v>
      </c>
      <c r="G19" s="8">
        <v>3430</v>
      </c>
      <c r="H19" s="8" t="s">
        <v>22</v>
      </c>
      <c r="I19" s="2"/>
      <c r="J19" s="2">
        <v>10000</v>
      </c>
      <c r="K19" s="4">
        <f>IF(H19="Expense",J19-G19,"N/A")</f>
        <v>6570</v>
      </c>
      <c r="L19" s="2"/>
    </row>
    <row r="20" spans="1:12" x14ac:dyDescent="0.2">
      <c r="A20" s="5" t="s">
        <v>48</v>
      </c>
      <c r="B20" s="5" t="s">
        <v>14</v>
      </c>
      <c r="C20" s="5"/>
      <c r="D20" s="5" t="s">
        <v>46</v>
      </c>
      <c r="E20" s="5" t="s">
        <v>47</v>
      </c>
      <c r="F20" s="5" t="s">
        <v>28</v>
      </c>
      <c r="G20" s="6">
        <v>6284</v>
      </c>
      <c r="H20" s="6" t="s">
        <v>22</v>
      </c>
      <c r="I20" s="5"/>
      <c r="J20" s="5">
        <v>10000</v>
      </c>
      <c r="K20" s="7">
        <f>IF(H20="Expense",J20-G20,"N/A")</f>
        <v>3716</v>
      </c>
      <c r="L20" s="5"/>
    </row>
    <row r="21" spans="1:12" x14ac:dyDescent="0.2">
      <c r="A21" s="2" t="s">
        <v>49</v>
      </c>
      <c r="B21" s="2" t="s">
        <v>14</v>
      </c>
      <c r="C21" s="2"/>
      <c r="D21" s="2" t="s">
        <v>20</v>
      </c>
      <c r="E21" s="2" t="s">
        <v>16</v>
      </c>
      <c r="F21" s="2" t="s">
        <v>25</v>
      </c>
      <c r="G21" s="8">
        <v>4494</v>
      </c>
      <c r="H21" s="8" t="s">
        <v>22</v>
      </c>
      <c r="I21" s="2"/>
      <c r="J21" s="2">
        <v>10000</v>
      </c>
      <c r="K21" s="4">
        <f>IF(H21="Expense",J21-G21,"N/A")</f>
        <v>5506</v>
      </c>
      <c r="L21" s="2"/>
    </row>
    <row r="22" spans="1:12" x14ac:dyDescent="0.2">
      <c r="A22" s="5" t="s">
        <v>50</v>
      </c>
      <c r="B22" s="5" t="s">
        <v>14</v>
      </c>
      <c r="C22" s="5"/>
      <c r="D22" s="5" t="s">
        <v>20</v>
      </c>
      <c r="E22" s="5" t="s">
        <v>16</v>
      </c>
      <c r="F22" s="5" t="s">
        <v>28</v>
      </c>
      <c r="G22" s="6">
        <v>4555</v>
      </c>
      <c r="H22" s="6" t="s">
        <v>22</v>
      </c>
      <c r="I22" s="5"/>
      <c r="J22" s="5">
        <v>10000</v>
      </c>
      <c r="K22" s="7">
        <f>IF(H22="Expense",J22-G22,"N/A")</f>
        <v>5445</v>
      </c>
      <c r="L22" s="5"/>
    </row>
    <row r="23" spans="1:12" x14ac:dyDescent="0.2">
      <c r="A23" s="2" t="s">
        <v>51</v>
      </c>
      <c r="B23" s="2" t="s">
        <v>14</v>
      </c>
      <c r="C23" s="2"/>
      <c r="D23" s="2" t="s">
        <v>30</v>
      </c>
      <c r="E23" s="2" t="s">
        <v>16</v>
      </c>
      <c r="F23" s="2" t="s">
        <v>21</v>
      </c>
      <c r="G23" s="8">
        <v>3025</v>
      </c>
      <c r="H23" s="8" t="s">
        <v>22</v>
      </c>
      <c r="I23" s="2"/>
      <c r="J23" s="2">
        <v>10000</v>
      </c>
      <c r="K23" s="4">
        <f>IF(H23="Expense",J23-G23,"N/A")</f>
        <v>6975</v>
      </c>
      <c r="L23" s="2"/>
    </row>
    <row r="24" spans="1:12" x14ac:dyDescent="0.2">
      <c r="A24" s="5" t="s">
        <v>52</v>
      </c>
      <c r="B24" s="5" t="s">
        <v>14</v>
      </c>
      <c r="C24" s="5"/>
      <c r="D24" s="5" t="s">
        <v>24</v>
      </c>
      <c r="E24" s="5" t="s">
        <v>16</v>
      </c>
      <c r="F24" s="5" t="s">
        <v>25</v>
      </c>
      <c r="G24" s="6">
        <v>5297</v>
      </c>
      <c r="H24" s="6" t="s">
        <v>22</v>
      </c>
      <c r="I24" s="5"/>
      <c r="J24" s="5">
        <v>10000</v>
      </c>
      <c r="K24" s="7">
        <f>IF(H24="Expense",J24-G24,"N/A")</f>
        <v>4703</v>
      </c>
      <c r="L24" s="5"/>
    </row>
    <row r="25" spans="1:12" x14ac:dyDescent="0.2">
      <c r="A25" s="2" t="s">
        <v>53</v>
      </c>
      <c r="B25" s="2" t="s">
        <v>14</v>
      </c>
      <c r="C25" s="2" t="s">
        <v>38</v>
      </c>
      <c r="D25" s="2"/>
      <c r="E25" s="2" t="s">
        <v>16</v>
      </c>
      <c r="F25" s="2" t="s">
        <v>25</v>
      </c>
      <c r="G25" s="3">
        <v>22310</v>
      </c>
      <c r="H25" s="3" t="s">
        <v>18</v>
      </c>
      <c r="I25" s="2"/>
      <c r="J25" s="2">
        <v>10000</v>
      </c>
      <c r="K25" s="4" t="str">
        <f>IF(H25="Expense",J25-G25,"N/A")</f>
        <v>N/A</v>
      </c>
      <c r="L25" s="2"/>
    </row>
    <row r="26" spans="1:12" x14ac:dyDescent="0.2">
      <c r="A26" s="5" t="s">
        <v>54</v>
      </c>
      <c r="B26" s="5" t="s">
        <v>14</v>
      </c>
      <c r="C26" s="5"/>
      <c r="D26" s="5" t="s">
        <v>24</v>
      </c>
      <c r="E26" s="5" t="s">
        <v>16</v>
      </c>
      <c r="F26" s="5" t="s">
        <v>28</v>
      </c>
      <c r="G26" s="6">
        <v>8876</v>
      </c>
      <c r="H26" s="6" t="s">
        <v>22</v>
      </c>
      <c r="I26" s="5"/>
      <c r="J26" s="5">
        <v>10000</v>
      </c>
      <c r="K26" s="7">
        <f>IF(H26="Expense",J26-G26,"N/A")</f>
        <v>1124</v>
      </c>
      <c r="L26" s="5"/>
    </row>
    <row r="27" spans="1:12" x14ac:dyDescent="0.2">
      <c r="A27" s="2" t="s">
        <v>55</v>
      </c>
      <c r="B27" s="2" t="s">
        <v>14</v>
      </c>
      <c r="C27" s="2" t="s">
        <v>27</v>
      </c>
      <c r="D27" s="2"/>
      <c r="E27" s="2" t="s">
        <v>16</v>
      </c>
      <c r="F27" s="2" t="s">
        <v>21</v>
      </c>
      <c r="G27" s="3">
        <v>23790</v>
      </c>
      <c r="H27" s="3" t="s">
        <v>18</v>
      </c>
      <c r="I27" s="2"/>
      <c r="J27" s="2">
        <v>10000</v>
      </c>
      <c r="K27" s="4" t="str">
        <f>IF(H27="Expense",J27-G27,"N/A")</f>
        <v>N/A</v>
      </c>
      <c r="L27" s="2"/>
    </row>
    <row r="28" spans="1:12" x14ac:dyDescent="0.2">
      <c r="A28" s="5" t="s">
        <v>56</v>
      </c>
      <c r="B28" s="5" t="s">
        <v>14</v>
      </c>
      <c r="C28" s="5"/>
      <c r="D28" s="5" t="s">
        <v>46</v>
      </c>
      <c r="E28" s="5" t="s">
        <v>47</v>
      </c>
      <c r="F28" s="5" t="s">
        <v>21</v>
      </c>
      <c r="G28" s="6">
        <v>4667</v>
      </c>
      <c r="H28" s="6" t="s">
        <v>22</v>
      </c>
      <c r="I28" s="5"/>
      <c r="J28" s="5">
        <v>10000</v>
      </c>
      <c r="K28" s="7">
        <f>IF(H28="Expense",J28-G28,"N/A")</f>
        <v>5333</v>
      </c>
      <c r="L28" s="5"/>
    </row>
    <row r="29" spans="1:12" x14ac:dyDescent="0.2">
      <c r="A29" s="2" t="s">
        <v>57</v>
      </c>
      <c r="B29" s="2" t="s">
        <v>14</v>
      </c>
      <c r="C29" s="2" t="s">
        <v>15</v>
      </c>
      <c r="D29" s="2"/>
      <c r="E29" s="2" t="s">
        <v>16</v>
      </c>
      <c r="F29" s="2" t="s">
        <v>25</v>
      </c>
      <c r="G29" s="3">
        <v>26898</v>
      </c>
      <c r="H29" s="3" t="s">
        <v>18</v>
      </c>
      <c r="I29" s="2"/>
      <c r="J29" s="2">
        <v>10000</v>
      </c>
      <c r="K29" s="4" t="str">
        <f>IF(H29="Expense",J29-G29,"N/A")</f>
        <v>N/A</v>
      </c>
      <c r="L29" s="2"/>
    </row>
    <row r="30" spans="1:12" x14ac:dyDescent="0.2">
      <c r="A30" s="5" t="s">
        <v>58</v>
      </c>
      <c r="B30" s="5" t="s">
        <v>14</v>
      </c>
      <c r="C30" s="5" t="s">
        <v>15</v>
      </c>
      <c r="D30" s="5"/>
      <c r="E30" s="5" t="s">
        <v>16</v>
      </c>
      <c r="F30" s="5" t="s">
        <v>28</v>
      </c>
      <c r="G30" s="9">
        <v>17086</v>
      </c>
      <c r="H30" s="9" t="s">
        <v>18</v>
      </c>
      <c r="I30" s="5"/>
      <c r="J30" s="5">
        <v>10000</v>
      </c>
      <c r="K30" s="7" t="str">
        <f>IF(H30="Expense",J30-G30,"N/A")</f>
        <v>N/A</v>
      </c>
      <c r="L30" s="5"/>
    </row>
    <row r="31" spans="1:12" x14ac:dyDescent="0.2">
      <c r="A31" s="2" t="s">
        <v>59</v>
      </c>
      <c r="B31" s="2" t="s">
        <v>14</v>
      </c>
      <c r="C31" s="2"/>
      <c r="D31" s="2" t="s">
        <v>24</v>
      </c>
      <c r="E31" s="2" t="s">
        <v>16</v>
      </c>
      <c r="F31" s="2" t="s">
        <v>28</v>
      </c>
      <c r="G31" s="8">
        <v>4431</v>
      </c>
      <c r="H31" s="8" t="s">
        <v>22</v>
      </c>
      <c r="I31" s="2"/>
      <c r="J31" s="2">
        <v>10000</v>
      </c>
      <c r="K31" s="4">
        <f>IF(H31="Expense",J31-G31,"N/A")</f>
        <v>5569</v>
      </c>
      <c r="L31" s="2"/>
    </row>
    <row r="32" spans="1:12" x14ac:dyDescent="0.2">
      <c r="A32" s="5" t="s">
        <v>60</v>
      </c>
      <c r="B32" s="5" t="s">
        <v>61</v>
      </c>
      <c r="C32" s="5" t="s">
        <v>15</v>
      </c>
      <c r="D32" s="5"/>
      <c r="E32" s="5" t="s">
        <v>16</v>
      </c>
      <c r="F32" s="5" t="s">
        <v>28</v>
      </c>
      <c r="G32" s="9">
        <v>10480</v>
      </c>
      <c r="H32" s="9" t="s">
        <v>18</v>
      </c>
      <c r="I32" s="5"/>
      <c r="J32" s="5">
        <v>10000</v>
      </c>
      <c r="K32" s="7" t="str">
        <f>IF(H32="Expense",J32-G32,"N/A")</f>
        <v>N/A</v>
      </c>
      <c r="L32" s="5"/>
    </row>
    <row r="33" spans="1:12" x14ac:dyDescent="0.2">
      <c r="A33" s="2" t="s">
        <v>62</v>
      </c>
      <c r="B33" s="2" t="s">
        <v>61</v>
      </c>
      <c r="C33" s="2" t="s">
        <v>27</v>
      </c>
      <c r="D33" s="2"/>
      <c r="E33" s="2" t="s">
        <v>16</v>
      </c>
      <c r="F33" s="2" t="s">
        <v>25</v>
      </c>
      <c r="G33" s="3">
        <v>28674</v>
      </c>
      <c r="H33" s="3" t="s">
        <v>18</v>
      </c>
      <c r="I33" s="2"/>
      <c r="J33" s="2">
        <v>10000</v>
      </c>
      <c r="K33" s="4" t="str">
        <f>IF(H33="Expense",J33-G33,"N/A")</f>
        <v>N/A</v>
      </c>
      <c r="L33" s="2"/>
    </row>
    <row r="34" spans="1:12" x14ac:dyDescent="0.2">
      <c r="A34" s="5" t="s">
        <v>63</v>
      </c>
      <c r="B34" s="5" t="s">
        <v>61</v>
      </c>
      <c r="C34" s="5" t="s">
        <v>38</v>
      </c>
      <c r="D34" s="5"/>
      <c r="E34" s="5" t="s">
        <v>16</v>
      </c>
      <c r="F34" s="5" t="s">
        <v>28</v>
      </c>
      <c r="G34" s="9">
        <v>20894</v>
      </c>
      <c r="H34" s="9" t="s">
        <v>18</v>
      </c>
      <c r="I34" s="5"/>
      <c r="J34" s="5">
        <v>10000</v>
      </c>
      <c r="K34" s="7" t="str">
        <f>IF(H34="Expense",J34-G34,"N/A")</f>
        <v>N/A</v>
      </c>
      <c r="L34" s="5"/>
    </row>
    <row r="35" spans="1:12" x14ac:dyDescent="0.2">
      <c r="A35" s="2" t="s">
        <v>64</v>
      </c>
      <c r="B35" s="2" t="s">
        <v>61</v>
      </c>
      <c r="C35" s="2" t="s">
        <v>27</v>
      </c>
      <c r="D35" s="2"/>
      <c r="E35" s="2" t="s">
        <v>16</v>
      </c>
      <c r="F35" s="2" t="s">
        <v>21</v>
      </c>
      <c r="G35" s="3">
        <v>25982</v>
      </c>
      <c r="H35" s="3" t="s">
        <v>18</v>
      </c>
      <c r="I35" s="2"/>
      <c r="J35" s="2">
        <v>10000</v>
      </c>
      <c r="K35" s="4" t="str">
        <f>IF(H35="Expense",J35-G35,"N/A")</f>
        <v>N/A</v>
      </c>
      <c r="L35" s="2"/>
    </row>
    <row r="36" spans="1:12" x14ac:dyDescent="0.2">
      <c r="A36" s="5" t="s">
        <v>65</v>
      </c>
      <c r="B36" s="5" t="s">
        <v>61</v>
      </c>
      <c r="C36" s="5" t="s">
        <v>27</v>
      </c>
      <c r="D36" s="5"/>
      <c r="E36" s="5" t="s">
        <v>16</v>
      </c>
      <c r="F36" s="5" t="s">
        <v>28</v>
      </c>
      <c r="G36" s="9">
        <v>6102</v>
      </c>
      <c r="H36" s="9" t="s">
        <v>18</v>
      </c>
      <c r="I36" s="5"/>
      <c r="J36" s="5">
        <v>10000</v>
      </c>
      <c r="K36" s="7" t="str">
        <f>IF(H36="Expense",J36-G36,"N/A")</f>
        <v>N/A</v>
      </c>
      <c r="L36" s="5"/>
    </row>
    <row r="37" spans="1:12" x14ac:dyDescent="0.2">
      <c r="A37" s="2" t="s">
        <v>66</v>
      </c>
      <c r="B37" s="2" t="s">
        <v>61</v>
      </c>
      <c r="C37" s="2"/>
      <c r="D37" s="2" t="s">
        <v>46</v>
      </c>
      <c r="E37" s="2" t="s">
        <v>47</v>
      </c>
      <c r="F37" s="2" t="s">
        <v>25</v>
      </c>
      <c r="G37" s="8">
        <v>4276</v>
      </c>
      <c r="H37" s="8" t="s">
        <v>22</v>
      </c>
      <c r="I37" s="2"/>
      <c r="J37" s="2">
        <v>10000</v>
      </c>
      <c r="K37" s="4">
        <f>IF(H37="Expense",J37-G37,"N/A")</f>
        <v>5724</v>
      </c>
      <c r="L37" s="2"/>
    </row>
    <row r="38" spans="1:12" x14ac:dyDescent="0.2">
      <c r="A38" s="5" t="s">
        <v>67</v>
      </c>
      <c r="B38" s="5" t="s">
        <v>61</v>
      </c>
      <c r="C38" s="5" t="s">
        <v>15</v>
      </c>
      <c r="D38" s="5"/>
      <c r="E38" s="5" t="s">
        <v>16</v>
      </c>
      <c r="F38" s="5" t="s">
        <v>28</v>
      </c>
      <c r="G38" s="9">
        <v>15498</v>
      </c>
      <c r="H38" s="9" t="s">
        <v>18</v>
      </c>
      <c r="I38" s="5"/>
      <c r="J38" s="5">
        <v>10000</v>
      </c>
      <c r="K38" s="7" t="str">
        <f>IF(H38="Expense",J38-G38,"N/A")</f>
        <v>N/A</v>
      </c>
      <c r="L38" s="5"/>
    </row>
    <row r="39" spans="1:12" x14ac:dyDescent="0.2">
      <c r="A39" s="2" t="s">
        <v>68</v>
      </c>
      <c r="B39" s="2" t="s">
        <v>61</v>
      </c>
      <c r="C39" s="2"/>
      <c r="D39" s="2" t="s">
        <v>46</v>
      </c>
      <c r="E39" s="2" t="s">
        <v>47</v>
      </c>
      <c r="F39" s="2" t="s">
        <v>25</v>
      </c>
      <c r="G39" s="8">
        <v>3030</v>
      </c>
      <c r="H39" s="8" t="s">
        <v>22</v>
      </c>
      <c r="I39" s="2"/>
      <c r="J39" s="2">
        <v>10000</v>
      </c>
      <c r="K39" s="4">
        <f>IF(H39="Expense",J39-G39,"N/A")</f>
        <v>6970</v>
      </c>
      <c r="L39" s="2"/>
    </row>
    <row r="40" spans="1:12" x14ac:dyDescent="0.2">
      <c r="A40" s="5" t="s">
        <v>69</v>
      </c>
      <c r="B40" s="5" t="s">
        <v>61</v>
      </c>
      <c r="C40" s="5" t="s">
        <v>27</v>
      </c>
      <c r="D40" s="5"/>
      <c r="E40" s="5" t="s">
        <v>16</v>
      </c>
      <c r="F40" s="5" t="s">
        <v>17</v>
      </c>
      <c r="G40" s="9">
        <v>15122</v>
      </c>
      <c r="H40" s="9" t="s">
        <v>18</v>
      </c>
      <c r="I40" s="5"/>
      <c r="J40" s="5">
        <v>10000</v>
      </c>
      <c r="K40" s="7" t="str">
        <f>IF(H40="Expense",J40-G40,"N/A")</f>
        <v>N/A</v>
      </c>
      <c r="L40" s="5"/>
    </row>
    <row r="41" spans="1:12" x14ac:dyDescent="0.2">
      <c r="A41" s="2" t="s">
        <v>70</v>
      </c>
      <c r="B41" s="2" t="s">
        <v>61</v>
      </c>
      <c r="C41" s="2"/>
      <c r="D41" s="2" t="s">
        <v>24</v>
      </c>
      <c r="E41" s="2" t="s">
        <v>16</v>
      </c>
      <c r="F41" s="2" t="s">
        <v>21</v>
      </c>
      <c r="G41" s="8">
        <v>6512</v>
      </c>
      <c r="H41" s="8" t="s">
        <v>22</v>
      </c>
      <c r="I41" s="2"/>
      <c r="J41" s="2">
        <v>10000</v>
      </c>
      <c r="K41" s="4">
        <f>IF(H41="Expense",J41-G41,"N/A")</f>
        <v>3488</v>
      </c>
      <c r="L41" s="2"/>
    </row>
    <row r="42" spans="1:12" x14ac:dyDescent="0.2">
      <c r="A42" s="5" t="s">
        <v>71</v>
      </c>
      <c r="B42" s="5" t="s">
        <v>61</v>
      </c>
      <c r="C42" s="5"/>
      <c r="D42" s="5" t="s">
        <v>30</v>
      </c>
      <c r="E42" s="5" t="s">
        <v>16</v>
      </c>
      <c r="F42" s="5" t="s">
        <v>21</v>
      </c>
      <c r="G42" s="6">
        <v>4508</v>
      </c>
      <c r="H42" s="6" t="s">
        <v>22</v>
      </c>
      <c r="I42" s="5"/>
      <c r="J42" s="5">
        <v>10000</v>
      </c>
      <c r="K42" s="7">
        <f>IF(H42="Expense",J42-G42,"N/A")</f>
        <v>5492</v>
      </c>
      <c r="L42" s="5"/>
    </row>
    <row r="43" spans="1:12" x14ac:dyDescent="0.2">
      <c r="A43" s="2" t="s">
        <v>72</v>
      </c>
      <c r="B43" s="2" t="s">
        <v>61</v>
      </c>
      <c r="C43" s="2"/>
      <c r="D43" s="2" t="s">
        <v>46</v>
      </c>
      <c r="E43" s="2" t="s">
        <v>47</v>
      </c>
      <c r="F43" s="2" t="s">
        <v>25</v>
      </c>
      <c r="G43" s="8">
        <v>8309</v>
      </c>
      <c r="H43" s="8" t="s">
        <v>22</v>
      </c>
      <c r="I43" s="2"/>
      <c r="J43" s="2">
        <v>10000</v>
      </c>
      <c r="K43" s="4">
        <f>IF(H43="Expense",J43-G43,"N/A")</f>
        <v>1691</v>
      </c>
      <c r="L43" s="2"/>
    </row>
    <row r="44" spans="1:12" x14ac:dyDescent="0.2">
      <c r="A44" s="5" t="s">
        <v>73</v>
      </c>
      <c r="B44" s="5" t="s">
        <v>61</v>
      </c>
      <c r="C44" s="5" t="s">
        <v>38</v>
      </c>
      <c r="D44" s="5"/>
      <c r="E44" s="5" t="s">
        <v>16</v>
      </c>
      <c r="F44" s="5" t="s">
        <v>17</v>
      </c>
      <c r="G44" s="9">
        <v>28991</v>
      </c>
      <c r="H44" s="9" t="s">
        <v>18</v>
      </c>
      <c r="I44" s="5"/>
      <c r="J44" s="5">
        <v>10000</v>
      </c>
      <c r="K44" s="7" t="str">
        <f>IF(H44="Expense",J44-G44,"N/A")</f>
        <v>N/A</v>
      </c>
      <c r="L44" s="5"/>
    </row>
    <row r="45" spans="1:12" x14ac:dyDescent="0.2">
      <c r="A45" s="2" t="s">
        <v>74</v>
      </c>
      <c r="B45" s="2" t="s">
        <v>61</v>
      </c>
      <c r="C45" s="2"/>
      <c r="D45" s="2" t="s">
        <v>40</v>
      </c>
      <c r="E45" s="2" t="s">
        <v>16</v>
      </c>
      <c r="F45" s="2" t="s">
        <v>17</v>
      </c>
      <c r="G45" s="8">
        <v>8201</v>
      </c>
      <c r="H45" s="8" t="s">
        <v>22</v>
      </c>
      <c r="I45" s="2"/>
      <c r="J45" s="2">
        <v>10000</v>
      </c>
      <c r="K45" s="4">
        <f>IF(H45="Expense",J45-G45,"N/A")</f>
        <v>1799</v>
      </c>
      <c r="L45" s="2"/>
    </row>
    <row r="46" spans="1:12" x14ac:dyDescent="0.2">
      <c r="A46" s="5" t="s">
        <v>75</v>
      </c>
      <c r="B46" s="5" t="s">
        <v>61</v>
      </c>
      <c r="C46" s="5" t="s">
        <v>15</v>
      </c>
      <c r="D46" s="5"/>
      <c r="E46" s="5" t="s">
        <v>16</v>
      </c>
      <c r="F46" s="5" t="s">
        <v>28</v>
      </c>
      <c r="G46" s="9">
        <v>18425</v>
      </c>
      <c r="H46" s="9" t="s">
        <v>18</v>
      </c>
      <c r="I46" s="5"/>
      <c r="J46" s="5">
        <v>10000</v>
      </c>
      <c r="K46" s="7" t="str">
        <f>IF(H46="Expense",J46-G46,"N/A")</f>
        <v>N/A</v>
      </c>
      <c r="L46" s="5"/>
    </row>
    <row r="47" spans="1:12" x14ac:dyDescent="0.2">
      <c r="A47" s="2" t="s">
        <v>76</v>
      </c>
      <c r="B47" s="2" t="s">
        <v>61</v>
      </c>
      <c r="C47" s="2" t="s">
        <v>27</v>
      </c>
      <c r="D47" s="2"/>
      <c r="E47" s="2" t="s">
        <v>16</v>
      </c>
      <c r="F47" s="2" t="s">
        <v>25</v>
      </c>
      <c r="G47" s="3">
        <v>24396</v>
      </c>
      <c r="H47" s="3" t="s">
        <v>18</v>
      </c>
      <c r="I47" s="2"/>
      <c r="J47" s="2">
        <v>10000</v>
      </c>
      <c r="K47" s="4" t="str">
        <f>IF(H47="Expense",J47-G47,"N/A")</f>
        <v>N/A</v>
      </c>
      <c r="L47" s="2"/>
    </row>
    <row r="48" spans="1:12" x14ac:dyDescent="0.2">
      <c r="A48" s="5" t="s">
        <v>77</v>
      </c>
      <c r="B48" s="5" t="s">
        <v>61</v>
      </c>
      <c r="C48" s="5"/>
      <c r="D48" s="5" t="s">
        <v>24</v>
      </c>
      <c r="E48" s="5" t="s">
        <v>16</v>
      </c>
      <c r="F48" s="5" t="s">
        <v>17</v>
      </c>
      <c r="G48" s="6">
        <v>5716</v>
      </c>
      <c r="H48" s="6" t="s">
        <v>22</v>
      </c>
      <c r="I48" s="5"/>
      <c r="J48" s="5">
        <v>10000</v>
      </c>
      <c r="K48" s="7">
        <f>IF(H48="Expense",J48-G48,"N/A")</f>
        <v>4284</v>
      </c>
      <c r="L48" s="5"/>
    </row>
    <row r="49" spans="1:12" x14ac:dyDescent="0.2">
      <c r="A49" s="2" t="s">
        <v>78</v>
      </c>
      <c r="B49" s="2" t="s">
        <v>61</v>
      </c>
      <c r="C49" s="2"/>
      <c r="D49" s="2" t="s">
        <v>20</v>
      </c>
      <c r="E49" s="2" t="s">
        <v>16</v>
      </c>
      <c r="F49" s="2" t="s">
        <v>28</v>
      </c>
      <c r="G49" s="8">
        <v>5125</v>
      </c>
      <c r="H49" s="8" t="s">
        <v>22</v>
      </c>
      <c r="I49" s="2"/>
      <c r="J49" s="2">
        <v>10000</v>
      </c>
      <c r="K49" s="4">
        <f>IF(H49="Expense",J49-G49,"N/A")</f>
        <v>4875</v>
      </c>
      <c r="L49" s="2"/>
    </row>
    <row r="50" spans="1:12" x14ac:dyDescent="0.2">
      <c r="A50" s="5" t="s">
        <v>79</v>
      </c>
      <c r="B50" s="5" t="s">
        <v>61</v>
      </c>
      <c r="C50" s="5" t="s">
        <v>27</v>
      </c>
      <c r="D50" s="5"/>
      <c r="E50" s="5" t="s">
        <v>16</v>
      </c>
      <c r="F50" s="5" t="s">
        <v>25</v>
      </c>
      <c r="G50" s="9">
        <v>16433</v>
      </c>
      <c r="H50" s="9" t="s">
        <v>18</v>
      </c>
      <c r="I50" s="5"/>
      <c r="J50" s="5">
        <v>10000</v>
      </c>
      <c r="K50" s="7" t="str">
        <f>IF(H50="Expense",J50-G50,"N/A")</f>
        <v>N/A</v>
      </c>
      <c r="L50" s="5"/>
    </row>
    <row r="51" spans="1:12" x14ac:dyDescent="0.2">
      <c r="A51" s="2" t="s">
        <v>80</v>
      </c>
      <c r="B51" s="2" t="s">
        <v>61</v>
      </c>
      <c r="C51" s="2"/>
      <c r="D51" s="2" t="s">
        <v>42</v>
      </c>
      <c r="E51" s="2" t="s">
        <v>16</v>
      </c>
      <c r="F51" s="2" t="s">
        <v>28</v>
      </c>
      <c r="G51" s="8">
        <v>6952</v>
      </c>
      <c r="H51" s="8" t="s">
        <v>22</v>
      </c>
      <c r="I51" s="2"/>
      <c r="J51" s="2">
        <v>10000</v>
      </c>
      <c r="K51" s="4">
        <f>IF(H51="Expense",J51-G51,"N/A")</f>
        <v>3048</v>
      </c>
      <c r="L51" s="2"/>
    </row>
    <row r="52" spans="1:12" x14ac:dyDescent="0.2">
      <c r="A52" s="5" t="s">
        <v>81</v>
      </c>
      <c r="B52" s="5" t="s">
        <v>61</v>
      </c>
      <c r="C52" s="5" t="s">
        <v>38</v>
      </c>
      <c r="D52" s="5"/>
      <c r="E52" s="5" t="s">
        <v>16</v>
      </c>
      <c r="F52" s="5" t="s">
        <v>21</v>
      </c>
      <c r="G52" s="9">
        <v>27449</v>
      </c>
      <c r="H52" s="9" t="s">
        <v>18</v>
      </c>
      <c r="I52" s="5"/>
      <c r="J52" s="5">
        <v>10000</v>
      </c>
      <c r="K52" s="7" t="str">
        <f>IF(H52="Expense",J52-G52,"N/A")</f>
        <v>N/A</v>
      </c>
      <c r="L52" s="5"/>
    </row>
    <row r="53" spans="1:12" x14ac:dyDescent="0.2">
      <c r="A53" s="2" t="s">
        <v>82</v>
      </c>
      <c r="B53" s="2" t="s">
        <v>61</v>
      </c>
      <c r="C53" s="2" t="s">
        <v>15</v>
      </c>
      <c r="D53" s="2"/>
      <c r="E53" s="2" t="s">
        <v>16</v>
      </c>
      <c r="F53" s="2" t="s">
        <v>21</v>
      </c>
      <c r="G53" s="3">
        <v>6112</v>
      </c>
      <c r="H53" s="3" t="s">
        <v>18</v>
      </c>
      <c r="I53" s="2"/>
      <c r="J53" s="2">
        <v>10000</v>
      </c>
      <c r="K53" s="4" t="str">
        <f>IF(H53="Expense",J53-G53,"N/A")</f>
        <v>N/A</v>
      </c>
      <c r="L53" s="2"/>
    </row>
    <row r="54" spans="1:12" x14ac:dyDescent="0.2">
      <c r="A54" s="5" t="s">
        <v>83</v>
      </c>
      <c r="B54" s="5" t="s">
        <v>61</v>
      </c>
      <c r="C54" s="5"/>
      <c r="D54" s="5" t="s">
        <v>40</v>
      </c>
      <c r="E54" s="5" t="s">
        <v>16</v>
      </c>
      <c r="F54" s="5" t="s">
        <v>17</v>
      </c>
      <c r="G54" s="6">
        <v>229</v>
      </c>
      <c r="H54" s="6" t="s">
        <v>22</v>
      </c>
      <c r="I54" s="5"/>
      <c r="J54" s="5">
        <v>10000</v>
      </c>
      <c r="K54" s="7">
        <f>IF(H54="Expense",J54-G54,"N/A")</f>
        <v>9771</v>
      </c>
      <c r="L54" s="5"/>
    </row>
    <row r="55" spans="1:12" x14ac:dyDescent="0.2">
      <c r="A55" s="2" t="s">
        <v>84</v>
      </c>
      <c r="B55" s="2" t="s">
        <v>61</v>
      </c>
      <c r="C55" s="2" t="s">
        <v>27</v>
      </c>
      <c r="D55" s="2"/>
      <c r="E55" s="2" t="s">
        <v>16</v>
      </c>
      <c r="F55" s="2" t="s">
        <v>21</v>
      </c>
      <c r="G55" s="3">
        <v>16254</v>
      </c>
      <c r="H55" s="3" t="s">
        <v>18</v>
      </c>
      <c r="I55" s="2"/>
      <c r="J55" s="2">
        <v>10000</v>
      </c>
      <c r="K55" s="4" t="str">
        <f>IF(H55="Expense",J55-G55,"N/A")</f>
        <v>N/A</v>
      </c>
      <c r="L55" s="2"/>
    </row>
    <row r="56" spans="1:12" x14ac:dyDescent="0.2">
      <c r="A56" s="5" t="s">
        <v>85</v>
      </c>
      <c r="B56" s="5" t="s">
        <v>61</v>
      </c>
      <c r="C56" s="5" t="s">
        <v>38</v>
      </c>
      <c r="D56" s="5"/>
      <c r="E56" s="5" t="s">
        <v>16</v>
      </c>
      <c r="F56" s="5" t="s">
        <v>25</v>
      </c>
      <c r="G56" s="9">
        <v>6721</v>
      </c>
      <c r="H56" s="9" t="s">
        <v>18</v>
      </c>
      <c r="I56" s="5"/>
      <c r="J56" s="5">
        <v>10000</v>
      </c>
      <c r="K56" s="7" t="str">
        <f>IF(H56="Expense",J56-G56,"N/A")</f>
        <v>N/A</v>
      </c>
      <c r="L56" s="5"/>
    </row>
    <row r="57" spans="1:12" x14ac:dyDescent="0.2">
      <c r="A57" s="2" t="s">
        <v>86</v>
      </c>
      <c r="B57" s="2" t="s">
        <v>61</v>
      </c>
      <c r="C57" s="2" t="s">
        <v>15</v>
      </c>
      <c r="D57" s="2"/>
      <c r="E57" s="2" t="s">
        <v>16</v>
      </c>
      <c r="F57" s="2" t="s">
        <v>25</v>
      </c>
      <c r="G57" s="3">
        <v>19611</v>
      </c>
      <c r="H57" s="3" t="s">
        <v>18</v>
      </c>
      <c r="I57" s="2"/>
      <c r="J57" s="2">
        <v>10000</v>
      </c>
      <c r="K57" s="4" t="str">
        <f>IF(H57="Expense",J57-G57,"N/A")</f>
        <v>N/A</v>
      </c>
      <c r="L57" s="2"/>
    </row>
    <row r="58" spans="1:12" x14ac:dyDescent="0.2">
      <c r="A58" s="5" t="s">
        <v>87</v>
      </c>
      <c r="B58" s="5" t="s">
        <v>61</v>
      </c>
      <c r="C58" s="5"/>
      <c r="D58" s="5" t="s">
        <v>20</v>
      </c>
      <c r="E58" s="5" t="s">
        <v>16</v>
      </c>
      <c r="F58" s="5" t="s">
        <v>21</v>
      </c>
      <c r="G58" s="6">
        <v>2792</v>
      </c>
      <c r="H58" s="6" t="s">
        <v>22</v>
      </c>
      <c r="I58" s="5"/>
      <c r="J58" s="5">
        <v>10000</v>
      </c>
      <c r="K58" s="7">
        <f>IF(H58="Expense",J58-G58,"N/A")</f>
        <v>7208</v>
      </c>
      <c r="L58" s="5"/>
    </row>
    <row r="59" spans="1:12" x14ac:dyDescent="0.2">
      <c r="A59" s="2" t="s">
        <v>88</v>
      </c>
      <c r="B59" s="2" t="s">
        <v>61</v>
      </c>
      <c r="C59" s="2" t="s">
        <v>38</v>
      </c>
      <c r="D59" s="2"/>
      <c r="E59" s="2" t="s">
        <v>16</v>
      </c>
      <c r="F59" s="2" t="s">
        <v>25</v>
      </c>
      <c r="G59" s="3">
        <v>23596</v>
      </c>
      <c r="H59" s="3" t="s">
        <v>18</v>
      </c>
      <c r="I59" s="2"/>
      <c r="J59" s="2">
        <v>10000</v>
      </c>
      <c r="K59" s="4" t="str">
        <f>IF(H59="Expense",J59-G59,"N/A")</f>
        <v>N/A</v>
      </c>
      <c r="L59" s="2"/>
    </row>
    <row r="60" spans="1:12" x14ac:dyDescent="0.2">
      <c r="A60" s="5" t="s">
        <v>89</v>
      </c>
      <c r="B60" s="5" t="s">
        <v>90</v>
      </c>
      <c r="C60" s="5" t="s">
        <v>27</v>
      </c>
      <c r="D60" s="5"/>
      <c r="E60" s="5" t="s">
        <v>16</v>
      </c>
      <c r="F60" s="5" t="s">
        <v>21</v>
      </c>
      <c r="G60" s="9">
        <v>9581</v>
      </c>
      <c r="H60" s="9" t="s">
        <v>18</v>
      </c>
      <c r="I60" s="5"/>
      <c r="J60" s="5">
        <v>10000</v>
      </c>
      <c r="K60" s="7" t="str">
        <f>IF(H60="Expense",J60-G60,"N/A")</f>
        <v>N/A</v>
      </c>
      <c r="L60" s="5"/>
    </row>
    <row r="61" spans="1:12" x14ac:dyDescent="0.2">
      <c r="A61" s="2" t="s">
        <v>91</v>
      </c>
      <c r="B61" s="2" t="s">
        <v>90</v>
      </c>
      <c r="C61" s="2"/>
      <c r="D61" s="2" t="s">
        <v>46</v>
      </c>
      <c r="E61" s="2" t="s">
        <v>47</v>
      </c>
      <c r="F61" s="2" t="s">
        <v>21</v>
      </c>
      <c r="G61" s="8">
        <v>9820</v>
      </c>
      <c r="H61" s="8" t="s">
        <v>22</v>
      </c>
      <c r="I61" s="2"/>
      <c r="J61" s="2">
        <v>10000</v>
      </c>
      <c r="K61" s="4">
        <f>IF(H61="Expense",J61-G61,"N/A")</f>
        <v>180</v>
      </c>
      <c r="L61" s="2"/>
    </row>
    <row r="62" spans="1:12" x14ac:dyDescent="0.2">
      <c r="A62" s="5" t="s">
        <v>92</v>
      </c>
      <c r="B62" s="5" t="s">
        <v>90</v>
      </c>
      <c r="C62" s="5"/>
      <c r="D62" s="5" t="s">
        <v>30</v>
      </c>
      <c r="E62" s="5" t="s">
        <v>16</v>
      </c>
      <c r="F62" s="5" t="s">
        <v>28</v>
      </c>
      <c r="G62" s="6">
        <v>3292</v>
      </c>
      <c r="H62" s="6" t="s">
        <v>22</v>
      </c>
      <c r="I62" s="5"/>
      <c r="J62" s="5">
        <v>10000</v>
      </c>
      <c r="K62" s="7">
        <f>IF(H62="Expense",J62-G62,"N/A")</f>
        <v>6708</v>
      </c>
      <c r="L62" s="5"/>
    </row>
    <row r="63" spans="1:12" x14ac:dyDescent="0.2">
      <c r="A63" s="2" t="s">
        <v>93</v>
      </c>
      <c r="B63" s="2" t="s">
        <v>90</v>
      </c>
      <c r="C63" s="2"/>
      <c r="D63" s="2" t="s">
        <v>20</v>
      </c>
      <c r="E63" s="2" t="s">
        <v>16</v>
      </c>
      <c r="F63" s="2" t="s">
        <v>25</v>
      </c>
      <c r="G63" s="8">
        <v>5765</v>
      </c>
      <c r="H63" s="8" t="s">
        <v>22</v>
      </c>
      <c r="I63" s="2"/>
      <c r="J63" s="2">
        <v>10000</v>
      </c>
      <c r="K63" s="4">
        <f>IF(H63="Expense",J63-G63,"N/A")</f>
        <v>4235</v>
      </c>
      <c r="L63" s="2"/>
    </row>
    <row r="64" spans="1:12" x14ac:dyDescent="0.2">
      <c r="A64" s="5" t="s">
        <v>94</v>
      </c>
      <c r="B64" s="5" t="s">
        <v>90</v>
      </c>
      <c r="C64" s="5"/>
      <c r="D64" s="5" t="s">
        <v>24</v>
      </c>
      <c r="E64" s="5" t="s">
        <v>16</v>
      </c>
      <c r="F64" s="5" t="s">
        <v>17</v>
      </c>
      <c r="G64" s="6">
        <v>1345</v>
      </c>
      <c r="H64" s="6" t="s">
        <v>22</v>
      </c>
      <c r="I64" s="5"/>
      <c r="J64" s="5">
        <v>10000</v>
      </c>
      <c r="K64" s="7">
        <f>IF(H64="Expense",J64-G64,"N/A")</f>
        <v>8655</v>
      </c>
      <c r="L64" s="5"/>
    </row>
    <row r="65" spans="1:12" x14ac:dyDescent="0.2">
      <c r="A65" s="2" t="s">
        <v>95</v>
      </c>
      <c r="B65" s="2" t="s">
        <v>90</v>
      </c>
      <c r="C65" s="2"/>
      <c r="D65" s="2" t="s">
        <v>20</v>
      </c>
      <c r="E65" s="2" t="s">
        <v>16</v>
      </c>
      <c r="F65" s="2" t="s">
        <v>28</v>
      </c>
      <c r="G65" s="8">
        <v>1765</v>
      </c>
      <c r="H65" s="8" t="s">
        <v>22</v>
      </c>
      <c r="I65" s="2"/>
      <c r="J65" s="2">
        <v>10000</v>
      </c>
      <c r="K65" s="4">
        <f>IF(H65="Expense",J65-G65,"N/A")</f>
        <v>8235</v>
      </c>
      <c r="L65" s="2"/>
    </row>
    <row r="66" spans="1:12" x14ac:dyDescent="0.2">
      <c r="A66" s="5" t="s">
        <v>96</v>
      </c>
      <c r="B66" s="5" t="s">
        <v>90</v>
      </c>
      <c r="C66" s="5"/>
      <c r="D66" s="5" t="s">
        <v>40</v>
      </c>
      <c r="E66" s="5" t="s">
        <v>16</v>
      </c>
      <c r="F66" s="5" t="s">
        <v>25</v>
      </c>
      <c r="G66" s="6">
        <v>7069</v>
      </c>
      <c r="H66" s="6" t="s">
        <v>22</v>
      </c>
      <c r="I66" s="5"/>
      <c r="J66" s="5">
        <v>10000</v>
      </c>
      <c r="K66" s="7">
        <f>IF(H66="Expense",J66-G66,"N/A")</f>
        <v>2931</v>
      </c>
      <c r="L66" s="5"/>
    </row>
    <row r="67" spans="1:12" x14ac:dyDescent="0.2">
      <c r="A67" s="2" t="s">
        <v>97</v>
      </c>
      <c r="B67" s="2" t="s">
        <v>90</v>
      </c>
      <c r="C67" s="2"/>
      <c r="D67" s="2" t="s">
        <v>46</v>
      </c>
      <c r="E67" s="2" t="s">
        <v>47</v>
      </c>
      <c r="F67" s="2" t="s">
        <v>28</v>
      </c>
      <c r="G67" s="8">
        <v>1476</v>
      </c>
      <c r="H67" s="8" t="s">
        <v>22</v>
      </c>
      <c r="I67" s="2"/>
      <c r="J67" s="2">
        <v>10000</v>
      </c>
      <c r="K67" s="4">
        <f>IF(H67="Expense",J67-G67,"N/A")</f>
        <v>8524</v>
      </c>
      <c r="L67" s="2"/>
    </row>
    <row r="68" spans="1:12" x14ac:dyDescent="0.2">
      <c r="A68" s="5" t="s">
        <v>98</v>
      </c>
      <c r="B68" s="5" t="s">
        <v>90</v>
      </c>
      <c r="C68" s="5" t="s">
        <v>38</v>
      </c>
      <c r="D68" s="5"/>
      <c r="E68" s="5" t="s">
        <v>16</v>
      </c>
      <c r="F68" s="5" t="s">
        <v>25</v>
      </c>
      <c r="G68" s="9">
        <v>9606</v>
      </c>
      <c r="H68" s="9" t="s">
        <v>18</v>
      </c>
      <c r="I68" s="5"/>
      <c r="J68" s="5">
        <v>10000</v>
      </c>
      <c r="K68" s="7" t="str">
        <f>IF(H68="Expense",J68-G68,"N/A")</f>
        <v>N/A</v>
      </c>
      <c r="L68" s="5"/>
    </row>
    <row r="69" spans="1:12" x14ac:dyDescent="0.2">
      <c r="A69" s="2" t="s">
        <v>99</v>
      </c>
      <c r="B69" s="2" t="s">
        <v>90</v>
      </c>
      <c r="C69" s="2" t="s">
        <v>15</v>
      </c>
      <c r="D69" s="2"/>
      <c r="E69" s="2" t="s">
        <v>16</v>
      </c>
      <c r="F69" s="2" t="s">
        <v>17</v>
      </c>
      <c r="G69" s="3">
        <v>29070</v>
      </c>
      <c r="H69" s="3" t="s">
        <v>18</v>
      </c>
      <c r="I69" s="2"/>
      <c r="J69" s="2">
        <v>10000</v>
      </c>
      <c r="K69" s="4" t="str">
        <f>IF(H69="Expense",J69-G69,"N/A")</f>
        <v>N/A</v>
      </c>
      <c r="L69" s="2"/>
    </row>
    <row r="70" spans="1:12" x14ac:dyDescent="0.2">
      <c r="A70" s="5" t="s">
        <v>100</v>
      </c>
      <c r="B70" s="5" t="s">
        <v>90</v>
      </c>
      <c r="C70" s="5" t="s">
        <v>38</v>
      </c>
      <c r="D70" s="5"/>
      <c r="E70" s="5" t="s">
        <v>16</v>
      </c>
      <c r="F70" s="5" t="s">
        <v>25</v>
      </c>
      <c r="G70" s="9">
        <v>24038</v>
      </c>
      <c r="H70" s="9" t="s">
        <v>18</v>
      </c>
      <c r="I70" s="5"/>
      <c r="J70" s="5">
        <v>10000</v>
      </c>
      <c r="K70" s="7" t="str">
        <f>IF(H70="Expense",J70-G70,"N/A")</f>
        <v>N/A</v>
      </c>
      <c r="L70" s="5"/>
    </row>
    <row r="71" spans="1:12" x14ac:dyDescent="0.2">
      <c r="A71" s="2" t="s">
        <v>101</v>
      </c>
      <c r="B71" s="2" t="s">
        <v>90</v>
      </c>
      <c r="C71" s="2"/>
      <c r="D71" s="2" t="s">
        <v>40</v>
      </c>
      <c r="E71" s="2" t="s">
        <v>16</v>
      </c>
      <c r="F71" s="2" t="s">
        <v>28</v>
      </c>
      <c r="G71" s="8">
        <v>3532</v>
      </c>
      <c r="H71" s="8" t="s">
        <v>22</v>
      </c>
      <c r="I71" s="2"/>
      <c r="J71" s="2">
        <v>10000</v>
      </c>
      <c r="K71" s="4">
        <f>IF(H71="Expense",J71-G71,"N/A")</f>
        <v>6468</v>
      </c>
      <c r="L71" s="2"/>
    </row>
    <row r="72" spans="1:12" x14ac:dyDescent="0.2">
      <c r="A72" s="5" t="s">
        <v>102</v>
      </c>
      <c r="B72" s="5" t="s">
        <v>90</v>
      </c>
      <c r="C72" s="5"/>
      <c r="D72" s="5" t="s">
        <v>30</v>
      </c>
      <c r="E72" s="5" t="s">
        <v>16</v>
      </c>
      <c r="F72" s="5" t="s">
        <v>17</v>
      </c>
      <c r="G72" s="6">
        <v>8504</v>
      </c>
      <c r="H72" s="6" t="s">
        <v>22</v>
      </c>
      <c r="I72" s="5"/>
      <c r="J72" s="5">
        <v>10000</v>
      </c>
      <c r="K72" s="7">
        <f>IF(H72="Expense",J72-G72,"N/A")</f>
        <v>1496</v>
      </c>
      <c r="L72" s="5"/>
    </row>
    <row r="73" spans="1:12" x14ac:dyDescent="0.2">
      <c r="A73" s="2" t="s">
        <v>103</v>
      </c>
      <c r="B73" s="2" t="s">
        <v>90</v>
      </c>
      <c r="C73" s="2" t="s">
        <v>15</v>
      </c>
      <c r="D73" s="2"/>
      <c r="E73" s="2" t="s">
        <v>16</v>
      </c>
      <c r="F73" s="2" t="s">
        <v>28</v>
      </c>
      <c r="G73" s="3">
        <v>28769</v>
      </c>
      <c r="H73" s="3" t="s">
        <v>18</v>
      </c>
      <c r="I73" s="2"/>
      <c r="J73" s="2">
        <v>10000</v>
      </c>
      <c r="K73" s="4" t="str">
        <f>IF(H73="Expense",J73-G73,"N/A")</f>
        <v>N/A</v>
      </c>
      <c r="L73" s="2"/>
    </row>
    <row r="74" spans="1:12" x14ac:dyDescent="0.2">
      <c r="A74" s="5" t="s">
        <v>104</v>
      </c>
      <c r="B74" s="5" t="s">
        <v>90</v>
      </c>
      <c r="C74" s="5" t="s">
        <v>38</v>
      </c>
      <c r="D74" s="5"/>
      <c r="E74" s="5" t="s">
        <v>16</v>
      </c>
      <c r="F74" s="5" t="s">
        <v>28</v>
      </c>
      <c r="G74" s="9">
        <v>19246</v>
      </c>
      <c r="H74" s="9" t="s">
        <v>18</v>
      </c>
      <c r="I74" s="5"/>
      <c r="J74" s="5">
        <v>10000</v>
      </c>
      <c r="K74" s="7" t="str">
        <f>IF(H74="Expense",J74-G74,"N/A")</f>
        <v>N/A</v>
      </c>
      <c r="L74" s="5"/>
    </row>
    <row r="75" spans="1:12" x14ac:dyDescent="0.2">
      <c r="A75" s="2" t="s">
        <v>105</v>
      </c>
      <c r="B75" s="2" t="s">
        <v>90</v>
      </c>
      <c r="C75" s="2"/>
      <c r="D75" s="2" t="s">
        <v>40</v>
      </c>
      <c r="E75" s="2" t="s">
        <v>16</v>
      </c>
      <c r="F75" s="2" t="s">
        <v>28</v>
      </c>
      <c r="G75" s="8">
        <v>6072</v>
      </c>
      <c r="H75" s="8" t="s">
        <v>22</v>
      </c>
      <c r="I75" s="2"/>
      <c r="J75" s="2">
        <v>10000</v>
      </c>
      <c r="K75" s="4">
        <f>IF(H75="Expense",J75-G75,"N/A")</f>
        <v>3928</v>
      </c>
      <c r="L75" s="2"/>
    </row>
    <row r="76" spans="1:12" x14ac:dyDescent="0.2">
      <c r="A76" s="5" t="s">
        <v>106</v>
      </c>
      <c r="B76" s="5" t="s">
        <v>90</v>
      </c>
      <c r="C76" s="5"/>
      <c r="D76" s="5" t="s">
        <v>40</v>
      </c>
      <c r="E76" s="5" t="s">
        <v>16</v>
      </c>
      <c r="F76" s="5" t="s">
        <v>25</v>
      </c>
      <c r="G76" s="6">
        <v>7095</v>
      </c>
      <c r="H76" s="6" t="s">
        <v>22</v>
      </c>
      <c r="I76" s="5"/>
      <c r="J76" s="5">
        <v>10000</v>
      </c>
      <c r="K76" s="7">
        <f>IF(H76="Expense",J76-G76,"N/A")</f>
        <v>2905</v>
      </c>
      <c r="L76" s="5"/>
    </row>
    <row r="77" spans="1:12" x14ac:dyDescent="0.2">
      <c r="A77" s="2" t="s">
        <v>107</v>
      </c>
      <c r="B77" s="2" t="s">
        <v>90</v>
      </c>
      <c r="C77" s="2" t="s">
        <v>27</v>
      </c>
      <c r="D77" s="2"/>
      <c r="E77" s="2" t="s">
        <v>16</v>
      </c>
      <c r="F77" s="2" t="s">
        <v>25</v>
      </c>
      <c r="G77" s="3">
        <v>18135</v>
      </c>
      <c r="H77" s="3" t="s">
        <v>18</v>
      </c>
      <c r="I77" s="2"/>
      <c r="J77" s="2">
        <v>10000</v>
      </c>
      <c r="K77" s="4" t="str">
        <f>IF(H77="Expense",J77-G77,"N/A")</f>
        <v>N/A</v>
      </c>
      <c r="L77" s="2"/>
    </row>
    <row r="78" spans="1:12" x14ac:dyDescent="0.2">
      <c r="A78" s="5" t="s">
        <v>108</v>
      </c>
      <c r="B78" s="5" t="s">
        <v>90</v>
      </c>
      <c r="C78" s="5"/>
      <c r="D78" s="5" t="s">
        <v>24</v>
      </c>
      <c r="E78" s="5" t="s">
        <v>16</v>
      </c>
      <c r="F78" s="5" t="s">
        <v>28</v>
      </c>
      <c r="G78" s="6">
        <v>6892</v>
      </c>
      <c r="H78" s="6" t="s">
        <v>22</v>
      </c>
      <c r="I78" s="5"/>
      <c r="J78" s="5">
        <v>10000</v>
      </c>
      <c r="K78" s="7">
        <f>IF(H78="Expense",J78-G78,"N/A")</f>
        <v>3108</v>
      </c>
      <c r="L78" s="5"/>
    </row>
    <row r="79" spans="1:12" x14ac:dyDescent="0.2">
      <c r="A79" s="2" t="s">
        <v>109</v>
      </c>
      <c r="B79" s="2" t="s">
        <v>90</v>
      </c>
      <c r="C79" s="2"/>
      <c r="D79" s="2" t="s">
        <v>30</v>
      </c>
      <c r="E79" s="2" t="s">
        <v>16</v>
      </c>
      <c r="F79" s="2" t="s">
        <v>21</v>
      </c>
      <c r="G79" s="8">
        <v>7356</v>
      </c>
      <c r="H79" s="8" t="s">
        <v>22</v>
      </c>
      <c r="I79" s="2"/>
      <c r="J79" s="2">
        <v>10000</v>
      </c>
      <c r="K79" s="4">
        <f>IF(H79="Expense",J79-G79,"N/A")</f>
        <v>2644</v>
      </c>
      <c r="L79" s="2"/>
    </row>
    <row r="80" spans="1:12" x14ac:dyDescent="0.2">
      <c r="A80" s="5" t="s">
        <v>110</v>
      </c>
      <c r="B80" s="5" t="s">
        <v>90</v>
      </c>
      <c r="C80" s="5"/>
      <c r="D80" s="5" t="s">
        <v>40</v>
      </c>
      <c r="E80" s="5" t="s">
        <v>16</v>
      </c>
      <c r="F80" s="5" t="s">
        <v>25</v>
      </c>
      <c r="G80" s="6">
        <v>7791</v>
      </c>
      <c r="H80" s="6" t="s">
        <v>22</v>
      </c>
      <c r="I80" s="5"/>
      <c r="J80" s="5">
        <v>10000</v>
      </c>
      <c r="K80" s="7">
        <f>IF(H80="Expense",J80-G80,"N/A")</f>
        <v>2209</v>
      </c>
      <c r="L80" s="5"/>
    </row>
    <row r="81" spans="1:12" x14ac:dyDescent="0.2">
      <c r="A81" s="2" t="s">
        <v>111</v>
      </c>
      <c r="B81" s="2" t="s">
        <v>90</v>
      </c>
      <c r="C81" s="2" t="s">
        <v>27</v>
      </c>
      <c r="D81" s="2"/>
      <c r="E81" s="2" t="s">
        <v>16</v>
      </c>
      <c r="F81" s="2" t="s">
        <v>25</v>
      </c>
      <c r="G81" s="3">
        <v>13460</v>
      </c>
      <c r="H81" s="3" t="s">
        <v>18</v>
      </c>
      <c r="I81" s="2"/>
      <c r="J81" s="2">
        <v>10000</v>
      </c>
      <c r="K81" s="4" t="str">
        <f>IF(H81="Expense",J81-G81,"N/A")</f>
        <v>N/A</v>
      </c>
      <c r="L81" s="2"/>
    </row>
    <row r="82" spans="1:12" x14ac:dyDescent="0.2">
      <c r="A82" s="5" t="s">
        <v>112</v>
      </c>
      <c r="B82" s="5" t="s">
        <v>90</v>
      </c>
      <c r="C82" s="5" t="s">
        <v>38</v>
      </c>
      <c r="D82" s="5"/>
      <c r="E82" s="5" t="s">
        <v>16</v>
      </c>
      <c r="F82" s="5" t="s">
        <v>25</v>
      </c>
      <c r="G82" s="9">
        <v>10573</v>
      </c>
      <c r="H82" s="9" t="s">
        <v>18</v>
      </c>
      <c r="I82" s="5"/>
      <c r="J82" s="5">
        <v>10000</v>
      </c>
      <c r="K82" s="7" t="str">
        <f>IF(H82="Expense",J82-G82,"N/A")</f>
        <v>N/A</v>
      </c>
      <c r="L82" s="5"/>
    </row>
    <row r="83" spans="1:12" x14ac:dyDescent="0.2">
      <c r="A83" s="2" t="s">
        <v>113</v>
      </c>
      <c r="B83" s="2" t="s">
        <v>90</v>
      </c>
      <c r="C83" s="2"/>
      <c r="D83" s="2" t="s">
        <v>42</v>
      </c>
      <c r="E83" s="2" t="s">
        <v>16</v>
      </c>
      <c r="F83" s="2" t="s">
        <v>25</v>
      </c>
      <c r="G83" s="8">
        <v>9762</v>
      </c>
      <c r="H83" s="8" t="s">
        <v>22</v>
      </c>
      <c r="I83" s="2"/>
      <c r="J83" s="2">
        <v>10000</v>
      </c>
      <c r="K83" s="4">
        <f>IF(H83="Expense",J83-G83,"N/A")</f>
        <v>238</v>
      </c>
      <c r="L83" s="2"/>
    </row>
    <row r="84" spans="1:12" x14ac:dyDescent="0.2">
      <c r="A84" s="5" t="s">
        <v>114</v>
      </c>
      <c r="B84" s="5" t="s">
        <v>90</v>
      </c>
      <c r="C84" s="5"/>
      <c r="D84" s="5" t="s">
        <v>20</v>
      </c>
      <c r="E84" s="5" t="s">
        <v>16</v>
      </c>
      <c r="F84" s="5" t="s">
        <v>17</v>
      </c>
      <c r="G84" s="6">
        <v>5478</v>
      </c>
      <c r="H84" s="6" t="s">
        <v>22</v>
      </c>
      <c r="I84" s="5"/>
      <c r="J84" s="5">
        <v>10000</v>
      </c>
      <c r="K84" s="7">
        <f>IF(H84="Expense",J84-G84,"N/A")</f>
        <v>4522</v>
      </c>
      <c r="L84" s="5"/>
    </row>
    <row r="85" spans="1:12" x14ac:dyDescent="0.2">
      <c r="A85" s="2" t="s">
        <v>115</v>
      </c>
      <c r="B85" s="2" t="s">
        <v>90</v>
      </c>
      <c r="C85" s="2"/>
      <c r="D85" s="2" t="s">
        <v>30</v>
      </c>
      <c r="E85" s="2" t="s">
        <v>16</v>
      </c>
      <c r="F85" s="2" t="s">
        <v>21</v>
      </c>
      <c r="G85" s="8">
        <v>8115</v>
      </c>
      <c r="H85" s="8" t="s">
        <v>22</v>
      </c>
      <c r="I85" s="2"/>
      <c r="J85" s="2">
        <v>10000</v>
      </c>
      <c r="K85" s="4">
        <f>IF(H85="Expense",J85-G85,"N/A")</f>
        <v>1885</v>
      </c>
      <c r="L85" s="2"/>
    </row>
    <row r="86" spans="1:12" x14ac:dyDescent="0.2">
      <c r="A86" s="5" t="s">
        <v>116</v>
      </c>
      <c r="B86" s="5" t="s">
        <v>90</v>
      </c>
      <c r="C86" s="5" t="s">
        <v>27</v>
      </c>
      <c r="D86" s="5"/>
      <c r="E86" s="5" t="s">
        <v>16</v>
      </c>
      <c r="F86" s="5" t="s">
        <v>17</v>
      </c>
      <c r="G86" s="9">
        <v>10836</v>
      </c>
      <c r="H86" s="9" t="s">
        <v>18</v>
      </c>
      <c r="I86" s="5"/>
      <c r="J86" s="5">
        <v>10000</v>
      </c>
      <c r="K86" s="7" t="str">
        <f>IF(H86="Expense",J86-G86,"N/A")</f>
        <v>N/A</v>
      </c>
      <c r="L86" s="5"/>
    </row>
    <row r="87" spans="1:12" x14ac:dyDescent="0.2">
      <c r="A87" s="2" t="s">
        <v>117</v>
      </c>
      <c r="B87" s="2" t="s">
        <v>90</v>
      </c>
      <c r="C87" s="2" t="s">
        <v>15</v>
      </c>
      <c r="D87" s="2"/>
      <c r="E87" s="2" t="s">
        <v>16</v>
      </c>
      <c r="F87" s="2" t="s">
        <v>21</v>
      </c>
      <c r="G87" s="3">
        <v>24299</v>
      </c>
      <c r="H87" s="3" t="s">
        <v>18</v>
      </c>
      <c r="I87" s="2"/>
      <c r="J87" s="2">
        <v>10000</v>
      </c>
      <c r="K87" s="4" t="str">
        <f>IF(H87="Expense",J87-G87,"N/A")</f>
        <v>N/A</v>
      </c>
      <c r="L87" s="2"/>
    </row>
    <row r="88" spans="1:12" x14ac:dyDescent="0.2">
      <c r="A88" s="5" t="s">
        <v>118</v>
      </c>
      <c r="B88" s="5" t="s">
        <v>90</v>
      </c>
      <c r="C88" s="5"/>
      <c r="D88" s="5" t="s">
        <v>42</v>
      </c>
      <c r="E88" s="5" t="s">
        <v>16</v>
      </c>
      <c r="F88" s="5" t="s">
        <v>21</v>
      </c>
      <c r="G88" s="6">
        <v>1680</v>
      </c>
      <c r="H88" s="6" t="s">
        <v>22</v>
      </c>
      <c r="I88" s="5"/>
      <c r="J88" s="5">
        <v>10000</v>
      </c>
      <c r="K88" s="7">
        <f>IF(H88="Expense",J88-G88,"N/A")</f>
        <v>8320</v>
      </c>
      <c r="L88" s="5"/>
    </row>
    <row r="89" spans="1:12" x14ac:dyDescent="0.2">
      <c r="A89" s="2" t="s">
        <v>119</v>
      </c>
      <c r="B89" s="2" t="s">
        <v>90</v>
      </c>
      <c r="C89" s="2"/>
      <c r="D89" s="2" t="s">
        <v>20</v>
      </c>
      <c r="E89" s="2" t="s">
        <v>16</v>
      </c>
      <c r="F89" s="2" t="s">
        <v>25</v>
      </c>
      <c r="G89" s="8">
        <v>8331</v>
      </c>
      <c r="H89" s="8" t="s">
        <v>22</v>
      </c>
      <c r="I89" s="2"/>
      <c r="J89" s="2">
        <v>10000</v>
      </c>
      <c r="K89" s="4">
        <f>IF(H89="Expense",J89-G89,"N/A")</f>
        <v>1669</v>
      </c>
      <c r="L89" s="2"/>
    </row>
    <row r="90" spans="1:12" x14ac:dyDescent="0.2">
      <c r="A90" s="5" t="s">
        <v>120</v>
      </c>
      <c r="B90" s="5" t="s">
        <v>90</v>
      </c>
      <c r="C90" s="5" t="s">
        <v>15</v>
      </c>
      <c r="D90" s="5"/>
      <c r="E90" s="5" t="s">
        <v>16</v>
      </c>
      <c r="F90" s="5" t="s">
        <v>17</v>
      </c>
      <c r="G90" s="9">
        <v>27597</v>
      </c>
      <c r="H90" s="9" t="s">
        <v>18</v>
      </c>
      <c r="I90" s="5"/>
      <c r="J90" s="5">
        <v>10000</v>
      </c>
      <c r="K90" s="7" t="str">
        <f>IF(H90="Expense",J90-G90,"N/A")</f>
        <v>N/A</v>
      </c>
      <c r="L90" s="5"/>
    </row>
    <row r="91" spans="1:12" x14ac:dyDescent="0.2">
      <c r="A91" s="2" t="s">
        <v>121</v>
      </c>
      <c r="B91" s="2" t="s">
        <v>122</v>
      </c>
      <c r="C91" s="2"/>
      <c r="D91" s="2" t="s">
        <v>30</v>
      </c>
      <c r="E91" s="2" t="s">
        <v>16</v>
      </c>
      <c r="F91" s="2" t="s">
        <v>21</v>
      </c>
      <c r="G91" s="8">
        <v>2115</v>
      </c>
      <c r="H91" s="8" t="s">
        <v>22</v>
      </c>
      <c r="I91" s="2"/>
      <c r="J91" s="2">
        <v>10000</v>
      </c>
      <c r="K91" s="4">
        <f>IF(H91="Expense",J91-G91,"N/A")</f>
        <v>7885</v>
      </c>
      <c r="L91" s="2"/>
    </row>
    <row r="92" spans="1:12" x14ac:dyDescent="0.2">
      <c r="A92" s="5" t="s">
        <v>123</v>
      </c>
      <c r="B92" s="5" t="s">
        <v>122</v>
      </c>
      <c r="C92" s="5"/>
      <c r="D92" s="5" t="s">
        <v>42</v>
      </c>
      <c r="E92" s="5" t="s">
        <v>16</v>
      </c>
      <c r="F92" s="5" t="s">
        <v>25</v>
      </c>
      <c r="G92" s="6">
        <v>7783</v>
      </c>
      <c r="H92" s="6" t="s">
        <v>22</v>
      </c>
      <c r="I92" s="5"/>
      <c r="J92" s="5">
        <v>10000</v>
      </c>
      <c r="K92" s="7">
        <f>IF(H92="Expense",J92-G92,"N/A")</f>
        <v>2217</v>
      </c>
      <c r="L92" s="5"/>
    </row>
    <row r="93" spans="1:12" x14ac:dyDescent="0.2">
      <c r="A93" s="2" t="s">
        <v>124</v>
      </c>
      <c r="B93" s="2" t="s">
        <v>122</v>
      </c>
      <c r="C93" s="2"/>
      <c r="D93" s="2" t="s">
        <v>42</v>
      </c>
      <c r="E93" s="2" t="s">
        <v>16</v>
      </c>
      <c r="F93" s="2" t="s">
        <v>28</v>
      </c>
      <c r="G93" s="8">
        <v>4328</v>
      </c>
      <c r="H93" s="8" t="s">
        <v>22</v>
      </c>
      <c r="I93" s="2"/>
      <c r="J93" s="2">
        <v>10000</v>
      </c>
      <c r="K93" s="4">
        <f>IF(H93="Expense",J93-G93,"N/A")</f>
        <v>5672</v>
      </c>
      <c r="L93" s="2"/>
    </row>
    <row r="94" spans="1:12" x14ac:dyDescent="0.2">
      <c r="A94" s="5" t="s">
        <v>125</v>
      </c>
      <c r="B94" s="5" t="s">
        <v>122</v>
      </c>
      <c r="C94" s="5" t="s">
        <v>38</v>
      </c>
      <c r="D94" s="5"/>
      <c r="E94" s="5" t="s">
        <v>16</v>
      </c>
      <c r="F94" s="5" t="s">
        <v>17</v>
      </c>
      <c r="G94" s="9">
        <v>24792</v>
      </c>
      <c r="H94" s="9" t="s">
        <v>18</v>
      </c>
      <c r="I94" s="5"/>
      <c r="J94" s="5">
        <v>10000</v>
      </c>
      <c r="K94" s="7" t="str">
        <f>IF(H94="Expense",J94-G94,"N/A")</f>
        <v>N/A</v>
      </c>
      <c r="L94" s="5"/>
    </row>
    <row r="95" spans="1:12" x14ac:dyDescent="0.2">
      <c r="A95" s="2" t="s">
        <v>126</v>
      </c>
      <c r="B95" s="2" t="s">
        <v>122</v>
      </c>
      <c r="C95" s="2" t="s">
        <v>15</v>
      </c>
      <c r="D95" s="2"/>
      <c r="E95" s="2" t="s">
        <v>16</v>
      </c>
      <c r="F95" s="2" t="s">
        <v>21</v>
      </c>
      <c r="G95" s="3">
        <v>29232</v>
      </c>
      <c r="H95" s="3" t="s">
        <v>18</v>
      </c>
      <c r="I95" s="2"/>
      <c r="J95" s="2">
        <v>10000</v>
      </c>
      <c r="K95" s="4" t="str">
        <f>IF(H95="Expense",J95-G95,"N/A")</f>
        <v>N/A</v>
      </c>
      <c r="L95" s="2"/>
    </row>
    <row r="96" spans="1:12" x14ac:dyDescent="0.2">
      <c r="A96" s="5" t="s">
        <v>127</v>
      </c>
      <c r="B96" s="5" t="s">
        <v>122</v>
      </c>
      <c r="C96" s="5" t="s">
        <v>38</v>
      </c>
      <c r="D96" s="5"/>
      <c r="E96" s="5" t="s">
        <v>16</v>
      </c>
      <c r="F96" s="5" t="s">
        <v>25</v>
      </c>
      <c r="G96" s="9">
        <v>18107</v>
      </c>
      <c r="H96" s="9" t="s">
        <v>18</v>
      </c>
      <c r="I96" s="5"/>
      <c r="J96" s="5">
        <v>10000</v>
      </c>
      <c r="K96" s="7" t="str">
        <f>IF(H96="Expense",J96-G96,"N/A")</f>
        <v>N/A</v>
      </c>
      <c r="L96" s="5"/>
    </row>
    <row r="97" spans="1:12" x14ac:dyDescent="0.2">
      <c r="A97" s="2" t="s">
        <v>128</v>
      </c>
      <c r="B97" s="2" t="s">
        <v>122</v>
      </c>
      <c r="C97" s="2" t="s">
        <v>15</v>
      </c>
      <c r="D97" s="2"/>
      <c r="E97" s="2" t="s">
        <v>16</v>
      </c>
      <c r="F97" s="2" t="s">
        <v>28</v>
      </c>
      <c r="G97" s="3">
        <v>12089</v>
      </c>
      <c r="H97" s="3" t="s">
        <v>18</v>
      </c>
      <c r="I97" s="2"/>
      <c r="J97" s="2">
        <v>10000</v>
      </c>
      <c r="K97" s="4" t="str">
        <f>IF(H97="Expense",J97-G97,"N/A")</f>
        <v>N/A</v>
      </c>
      <c r="L97" s="2"/>
    </row>
    <row r="98" spans="1:12" x14ac:dyDescent="0.2">
      <c r="A98" s="5" t="s">
        <v>129</v>
      </c>
      <c r="B98" s="5" t="s">
        <v>122</v>
      </c>
      <c r="C98" s="5"/>
      <c r="D98" s="5" t="s">
        <v>20</v>
      </c>
      <c r="E98" s="5" t="s">
        <v>16</v>
      </c>
      <c r="F98" s="5" t="s">
        <v>25</v>
      </c>
      <c r="G98" s="6">
        <v>706</v>
      </c>
      <c r="H98" s="6" t="s">
        <v>22</v>
      </c>
      <c r="I98" s="5"/>
      <c r="J98" s="5">
        <v>10000</v>
      </c>
      <c r="K98" s="7">
        <f>IF(H98="Expense",J98-G98,"N/A")</f>
        <v>9294</v>
      </c>
      <c r="L98" s="5"/>
    </row>
    <row r="99" spans="1:12" x14ac:dyDescent="0.2">
      <c r="A99" s="2" t="s">
        <v>130</v>
      </c>
      <c r="B99" s="2" t="s">
        <v>122</v>
      </c>
      <c r="C99" s="2" t="s">
        <v>27</v>
      </c>
      <c r="D99" s="2"/>
      <c r="E99" s="2" t="s">
        <v>16</v>
      </c>
      <c r="F99" s="2" t="s">
        <v>25</v>
      </c>
      <c r="G99" s="3">
        <v>15432</v>
      </c>
      <c r="H99" s="3" t="s">
        <v>18</v>
      </c>
      <c r="I99" s="2"/>
      <c r="J99" s="2">
        <v>10000</v>
      </c>
      <c r="K99" s="4" t="str">
        <f>IF(H99="Expense",J99-G99,"N/A")</f>
        <v>N/A</v>
      </c>
      <c r="L99" s="2"/>
    </row>
    <row r="100" spans="1:12" x14ac:dyDescent="0.2">
      <c r="A100" s="5" t="s">
        <v>131</v>
      </c>
      <c r="B100" s="5" t="s">
        <v>122</v>
      </c>
      <c r="C100" s="5" t="s">
        <v>15</v>
      </c>
      <c r="D100" s="5"/>
      <c r="E100" s="5" t="s">
        <v>16</v>
      </c>
      <c r="F100" s="5" t="s">
        <v>28</v>
      </c>
      <c r="G100" s="9">
        <v>15278</v>
      </c>
      <c r="H100" s="9" t="s">
        <v>18</v>
      </c>
      <c r="I100" s="5"/>
      <c r="J100" s="5">
        <v>10000</v>
      </c>
      <c r="K100" s="7" t="str">
        <f>IF(H100="Expense",J100-G100,"N/A")</f>
        <v>N/A</v>
      </c>
      <c r="L100" s="5"/>
    </row>
    <row r="101" spans="1:12" x14ac:dyDescent="0.2">
      <c r="A101" s="2" t="s">
        <v>132</v>
      </c>
      <c r="B101" s="2" t="s">
        <v>122</v>
      </c>
      <c r="C101" s="2" t="s">
        <v>27</v>
      </c>
      <c r="D101" s="2"/>
      <c r="E101" s="2" t="s">
        <v>16</v>
      </c>
      <c r="F101" s="2" t="s">
        <v>17</v>
      </c>
      <c r="G101" s="3">
        <v>19236</v>
      </c>
      <c r="H101" s="3" t="s">
        <v>18</v>
      </c>
      <c r="I101" s="2"/>
      <c r="J101" s="2">
        <v>10000</v>
      </c>
      <c r="K101" s="4" t="str">
        <f>IF(H101="Expense",J101-G101,"N/A")</f>
        <v>N/A</v>
      </c>
      <c r="L101" s="2"/>
    </row>
    <row r="102" spans="1:12" x14ac:dyDescent="0.2">
      <c r="A102" s="5" t="s">
        <v>133</v>
      </c>
      <c r="B102" s="5" t="s">
        <v>122</v>
      </c>
      <c r="C102" s="5"/>
      <c r="D102" s="5" t="s">
        <v>46</v>
      </c>
      <c r="E102" s="5" t="s">
        <v>47</v>
      </c>
      <c r="F102" s="5" t="s">
        <v>21</v>
      </c>
      <c r="G102" s="6">
        <v>8465</v>
      </c>
      <c r="H102" s="6" t="s">
        <v>22</v>
      </c>
      <c r="I102" s="5"/>
      <c r="J102" s="5">
        <v>10000</v>
      </c>
      <c r="K102" s="7">
        <f>IF(H102="Expense",J102-G102,"N/A")</f>
        <v>1535</v>
      </c>
      <c r="L102" s="5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55A64"/>
  </sheetPr>
  <dimension ref="A1"/>
  <sheetViews>
    <sheetView zoomScaleNormal="100" workbookViewId="0"/>
  </sheetViews>
  <sheetFormatPr defaultColWidth="8.7421875" defaultRowHeight="15" x14ac:dyDescent="0.2"/>
  <sheetData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360C"/>
  </sheetPr>
  <dimension ref="A1:E9"/>
  <sheetViews>
    <sheetView zoomScaleNormal="100" workbookViewId="0"/>
  </sheetViews>
  <sheetFormatPr defaultColWidth="8.7421875" defaultRowHeight="15" x14ac:dyDescent="0.2"/>
  <cols>
    <col min="1" max="4" width="16.0078125" customWidth="1"/>
    <col min="5" max="5" width="18.0234375" customWidth="1"/>
  </cols>
  <sheetData>
    <row r="1" spans="1:5" ht="31.5" customHeight="1" x14ac:dyDescent="0.2">
      <c r="A1" s="69" t="s">
        <v>134</v>
      </c>
      <c r="B1" s="69"/>
      <c r="C1" s="69"/>
      <c r="D1" s="69"/>
      <c r="E1" s="69"/>
    </row>
    <row r="2" spans="1:5" ht="24" customHeight="1" x14ac:dyDescent="0.2">
      <c r="A2" s="10" t="s">
        <v>135</v>
      </c>
      <c r="B2" s="10" t="s">
        <v>136</v>
      </c>
      <c r="C2" s="10" t="s">
        <v>137</v>
      </c>
      <c r="D2" s="10" t="s">
        <v>138</v>
      </c>
      <c r="E2" s="10" t="s">
        <v>139</v>
      </c>
    </row>
    <row r="3" spans="1:5" ht="21.75" customHeight="1" x14ac:dyDescent="0.2">
      <c r="A3" s="11" t="s">
        <v>24</v>
      </c>
      <c r="B3" s="12">
        <v>10000</v>
      </c>
      <c r="C3" s="12">
        <f>SUMIFS('Raw Data'!G:G,'Raw Data'!D:D,"Food")</f>
        <v>46266</v>
      </c>
      <c r="D3" s="12">
        <f>B3-C3</f>
        <v>-36266</v>
      </c>
      <c r="E3" s="13" t="str">
        <f>IF(D3&gt;=0,"✅ Under Budget","⚠️ Over Budget")</f>
        <v>⚠️ Over Budget</v>
      </c>
    </row>
    <row r="4" spans="1:5" ht="21.75" customHeight="1" x14ac:dyDescent="0.2">
      <c r="A4" s="14" t="s">
        <v>46</v>
      </c>
      <c r="B4" s="15">
        <v>10000</v>
      </c>
      <c r="C4" s="15">
        <f>SUMIFS('Raw Data'!G:G,'Raw Data'!D:D,"Rent")</f>
        <v>49757</v>
      </c>
      <c r="D4" s="15">
        <f>B4-C4</f>
        <v>-39757</v>
      </c>
      <c r="E4" s="16" t="str">
        <f>IF(D4&gt;=0,"✅ Under Budget","⚠️ Over Budget")</f>
        <v>⚠️ Over Budget</v>
      </c>
    </row>
    <row r="5" spans="1:5" ht="21.75" customHeight="1" x14ac:dyDescent="0.2">
      <c r="A5" s="11" t="s">
        <v>20</v>
      </c>
      <c r="B5" s="12">
        <v>10000</v>
      </c>
      <c r="C5" s="12">
        <f>SUMIFS('Raw Data'!G:G,'Raw Data'!D:D,"Travel")</f>
        <v>48174</v>
      </c>
      <c r="D5" s="12">
        <f>B5-C5</f>
        <v>-38174</v>
      </c>
      <c r="E5" s="13" t="str">
        <f>IF(D5&gt;=0,"✅ Under Budget","⚠️ Over Budget")</f>
        <v>⚠️ Over Budget</v>
      </c>
    </row>
    <row r="6" spans="1:5" ht="21.75" customHeight="1" x14ac:dyDescent="0.2">
      <c r="A6" s="14" t="s">
        <v>30</v>
      </c>
      <c r="B6" s="15">
        <v>10000</v>
      </c>
      <c r="C6" s="15">
        <f>SUMIFS('Raw Data'!G:G,'Raw Data'!D:D,"Shopping")</f>
        <v>47042</v>
      </c>
      <c r="D6" s="15">
        <f>B6-C6</f>
        <v>-37042</v>
      </c>
      <c r="E6" s="16" t="str">
        <f>IF(D6&gt;=0,"✅ Under Budget","⚠️ Over Budget")</f>
        <v>⚠️ Over Budget</v>
      </c>
    </row>
    <row r="7" spans="1:5" ht="21.75" customHeight="1" x14ac:dyDescent="0.2">
      <c r="A7" s="11" t="s">
        <v>40</v>
      </c>
      <c r="B7" s="12">
        <v>10000</v>
      </c>
      <c r="C7" s="12">
        <f>SUMIFS('Raw Data'!G:G,'Raw Data'!D:D,"EMI")</f>
        <v>43059</v>
      </c>
      <c r="D7" s="12">
        <f>B7-C7</f>
        <v>-33059</v>
      </c>
      <c r="E7" s="13" t="str">
        <f>IF(D7&gt;=0,"✅ Under Budget","⚠️ Over Budget")</f>
        <v>⚠️ Over Budget</v>
      </c>
    </row>
    <row r="8" spans="1:5" ht="21.75" customHeight="1" x14ac:dyDescent="0.2">
      <c r="A8" s="14" t="s">
        <v>42</v>
      </c>
      <c r="B8" s="15">
        <v>10000</v>
      </c>
      <c r="C8" s="15">
        <f>SUMIFS('Raw Data'!G:G,'Raw Data'!D:D,"Bills")</f>
        <v>35163</v>
      </c>
      <c r="D8" s="15">
        <f>B8-C8</f>
        <v>-25163</v>
      </c>
      <c r="E8" s="16" t="str">
        <f>IF(D8&gt;=0,"✅ Under Budget","⚠️ Over Budget")</f>
        <v>⚠️ Over Budget</v>
      </c>
    </row>
    <row r="9" spans="1:5" ht="25.5" customHeight="1" x14ac:dyDescent="0.2">
      <c r="A9" s="17" t="s">
        <v>140</v>
      </c>
      <c r="B9" s="18">
        <f>SUM(B3:B8)</f>
        <v>60000</v>
      </c>
      <c r="C9" s="18">
        <f>SUM(C3:C8)</f>
        <v>269461</v>
      </c>
      <c r="D9" s="18">
        <f>SUM(D3:D8)</f>
        <v>-209461</v>
      </c>
      <c r="E9" s="17" t="str">
        <f>IF(D9&gt;=0,"✅ Under Budget","⚠️ Over Budget")</f>
        <v>⚠️ Over Budget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F8"/>
  <sheetViews>
    <sheetView zoomScaleNormal="100" workbookViewId="0"/>
  </sheetViews>
  <sheetFormatPr defaultColWidth="8.7421875" defaultRowHeight="15" x14ac:dyDescent="0.2"/>
  <cols>
    <col min="1" max="1" width="20.04296875" style="19" customWidth="1"/>
    <col min="2" max="6" width="20.04296875" customWidth="1"/>
  </cols>
  <sheetData>
    <row r="1" spans="1:6" ht="39.75" customHeight="1" x14ac:dyDescent="0.2">
      <c r="A1" s="78" t="s">
        <v>141</v>
      </c>
      <c r="B1" s="78"/>
      <c r="C1" s="78"/>
      <c r="D1" s="78"/>
      <c r="E1" s="78"/>
      <c r="F1" s="78"/>
    </row>
    <row r="2" spans="1:6" ht="21.75" customHeight="1" x14ac:dyDescent="0.2">
      <c r="A2" s="63" t="s">
        <v>142</v>
      </c>
      <c r="B2" s="63"/>
      <c r="C2" s="63"/>
      <c r="D2" s="63"/>
      <c r="E2" s="63"/>
      <c r="F2" s="63"/>
    </row>
    <row r="4" spans="1:6" ht="30" customHeight="1" x14ac:dyDescent="0.2">
      <c r="A4" s="79" t="s">
        <v>143</v>
      </c>
      <c r="B4" s="79"/>
      <c r="C4" s="20"/>
      <c r="D4" s="20"/>
      <c r="E4" s="20"/>
      <c r="F4" s="20"/>
    </row>
    <row r="5" spans="1:6" ht="30" customHeight="1" x14ac:dyDescent="0.2">
      <c r="A5" s="80">
        <f>SUMIFS('Raw Data'!G:G,'Raw Data'!H:H,"Income")</f>
        <v>876368</v>
      </c>
      <c r="B5" s="80"/>
      <c r="C5" s="81" t="s">
        <v>144</v>
      </c>
      <c r="D5" s="81"/>
      <c r="E5" s="20"/>
      <c r="F5" s="20"/>
    </row>
    <row r="6" spans="1:6" ht="30" customHeight="1" x14ac:dyDescent="0.2">
      <c r="A6" s="20"/>
      <c r="B6" s="20"/>
      <c r="C6" s="73">
        <f>SUMIFS('Raw Data'!G:G,'Raw Data'!H:H,"Expense")</f>
        <v>269461</v>
      </c>
      <c r="D6" s="73"/>
      <c r="E6" s="74" t="s">
        <v>145</v>
      </c>
      <c r="F6" s="74"/>
    </row>
    <row r="7" spans="1:6" ht="30" customHeight="1" x14ac:dyDescent="0.2">
      <c r="A7" s="75" t="s">
        <v>146</v>
      </c>
      <c r="B7" s="75"/>
      <c r="C7" s="76" t="s">
        <v>147</v>
      </c>
      <c r="D7" s="76"/>
      <c r="E7" s="77" t="s">
        <v>148</v>
      </c>
      <c r="F7" s="77"/>
    </row>
    <row r="8" spans="1:6" ht="49.5" customHeight="1" x14ac:dyDescent="0.2">
      <c r="A8" s="70">
        <f>IFERROR(B5/B4,0)</f>
        <v>0</v>
      </c>
      <c r="B8" s="70"/>
      <c r="C8" s="71">
        <f>IFERROR(B6/4,0)</f>
        <v>0</v>
      </c>
      <c r="D8" s="71"/>
      <c r="E8" s="72">
        <f>COUNTA('Raw Data'!H3:H102)-COUNTBLANK('Raw Data'!H3:H102)</f>
        <v>100</v>
      </c>
      <c r="F8" s="72"/>
    </row>
  </sheetData>
  <mergeCells count="13">
    <mergeCell ref="A1:F1"/>
    <mergeCell ref="A2:F2"/>
    <mergeCell ref="A4:B4"/>
    <mergeCell ref="A5:B5"/>
    <mergeCell ref="C5:D5"/>
    <mergeCell ref="A8:B8"/>
    <mergeCell ref="C8:D8"/>
    <mergeCell ref="E8:F8"/>
    <mergeCell ref="C6:D6"/>
    <mergeCell ref="E6:F6"/>
    <mergeCell ref="A7:B7"/>
    <mergeCell ref="C7:D7"/>
    <mergeCell ref="E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47A1"/>
  </sheetPr>
  <dimension ref="A1:P59"/>
  <sheetViews>
    <sheetView tabSelected="1"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4" width="13.98828125" customWidth="1"/>
    <col min="5" max="6" width="13.046875" customWidth="1"/>
    <col min="7" max="10" width="13.98828125" customWidth="1"/>
    <col min="11" max="11" width="9.953125" customWidth="1"/>
    <col min="12" max="13" width="13.98828125" customWidth="1"/>
    <col min="14" max="14" width="9.953125" customWidth="1"/>
    <col min="15" max="16" width="13.98828125" customWidth="1"/>
  </cols>
  <sheetData>
    <row r="1" spans="1:16" ht="49.5" customHeight="1" x14ac:dyDescent="0.2">
      <c r="A1" s="62" t="s">
        <v>149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6" ht="24" customHeight="1" x14ac:dyDescent="0.2">
      <c r="A2" s="63" t="s">
        <v>150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3" spans="1:16" ht="9.75" customHeight="1" x14ac:dyDescent="0.2"/>
    <row r="4" spans="1:16" ht="25.5" customHeight="1" x14ac:dyDescent="0.2">
      <c r="A4" s="64" t="s">
        <v>151</v>
      </c>
      <c r="B4" s="64"/>
      <c r="C4" s="64"/>
      <c r="D4" s="65" t="s">
        <v>152</v>
      </c>
      <c r="E4" s="65"/>
      <c r="F4" s="65"/>
      <c r="G4" s="66" t="s">
        <v>153</v>
      </c>
      <c r="H4" s="66"/>
      <c r="I4" s="66"/>
      <c r="J4" s="67" t="s">
        <v>154</v>
      </c>
      <c r="K4" s="67"/>
      <c r="L4" s="67"/>
      <c r="M4" s="68" t="s">
        <v>155</v>
      </c>
      <c r="N4" s="68"/>
      <c r="O4" s="68"/>
      <c r="P4" s="68"/>
    </row>
    <row r="5" spans="1:16" ht="39.75" customHeight="1" x14ac:dyDescent="0.2">
      <c r="A5" s="57">
        <f>'KPI Summary'!B5</f>
        <v>0</v>
      </c>
      <c r="B5" s="57"/>
      <c r="C5" s="57"/>
      <c r="D5" s="58">
        <f>'KPI Summary'!D5</f>
        <v>0</v>
      </c>
      <c r="E5" s="58"/>
      <c r="F5" s="58"/>
      <c r="G5" s="59">
        <f>'KPI Summary'!F5</f>
        <v>0</v>
      </c>
      <c r="H5" s="59"/>
      <c r="I5" s="59"/>
      <c r="J5" s="60">
        <f>'KPI Summary'!B8</f>
        <v>0</v>
      </c>
      <c r="K5" s="60"/>
      <c r="L5" s="60"/>
      <c r="M5" s="61">
        <f>'KPI Summary'!F8</f>
        <v>0</v>
      </c>
      <c r="N5" s="61"/>
      <c r="O5" s="61"/>
      <c r="P5" s="61"/>
    </row>
    <row r="6" spans="1:16" ht="9.75" customHeight="1" x14ac:dyDescent="0.2"/>
    <row r="7" spans="1:16" ht="25.5" customHeight="1" x14ac:dyDescent="0.2"/>
    <row r="8" spans="1:16" ht="39.75" customHeight="1" x14ac:dyDescent="0.2"/>
    <row r="9" spans="1:16" ht="13.5" customHeight="1" x14ac:dyDescent="0.2"/>
    <row r="10" spans="1:16" ht="27.75" customHeight="1" x14ac:dyDescent="0.2">
      <c r="A10" s="53" t="s">
        <v>156</v>
      </c>
      <c r="B10" s="53"/>
      <c r="C10" s="53"/>
      <c r="D10" s="53"/>
      <c r="E10" s="53"/>
      <c r="F10" s="53"/>
      <c r="G10" s="53"/>
      <c r="H10" s="53"/>
      <c r="I10" s="54" t="s">
        <v>157</v>
      </c>
      <c r="J10" s="54"/>
      <c r="K10" s="54"/>
      <c r="L10" s="54"/>
      <c r="M10" s="54"/>
      <c r="N10" s="54"/>
      <c r="O10" s="54"/>
      <c r="P10" s="54"/>
    </row>
    <row r="11" spans="1:16" ht="21.75" customHeight="1" x14ac:dyDescent="0.2">
      <c r="A11" s="21" t="s">
        <v>2</v>
      </c>
      <c r="B11" s="21" t="s">
        <v>158</v>
      </c>
      <c r="C11" s="21" t="s">
        <v>159</v>
      </c>
      <c r="D11" s="21" t="s">
        <v>160</v>
      </c>
      <c r="E11" s="21" t="s">
        <v>161</v>
      </c>
      <c r="F11" s="21" t="s">
        <v>162</v>
      </c>
      <c r="I11" s="22" t="s">
        <v>135</v>
      </c>
      <c r="J11" s="22" t="s">
        <v>163</v>
      </c>
      <c r="K11" s="22" t="s">
        <v>164</v>
      </c>
      <c r="L11" s="22" t="s">
        <v>165</v>
      </c>
      <c r="M11" s="22" t="s">
        <v>166</v>
      </c>
      <c r="N11" s="22" t="s">
        <v>139</v>
      </c>
    </row>
    <row r="12" spans="1:16" ht="21.75" customHeight="1" x14ac:dyDescent="0.2">
      <c r="A12" s="23" t="s">
        <v>14</v>
      </c>
      <c r="B12" s="24">
        <f>'Monthly Analysis'!B3</f>
        <v>206252</v>
      </c>
      <c r="C12" s="25">
        <f>'Monthly Analysis'!C3</f>
        <v>79274</v>
      </c>
      <c r="D12" s="26">
        <f>'Monthly Analysis'!D3</f>
        <v>126978</v>
      </c>
      <c r="E12" s="27">
        <f>'Monthly Analysis'!E3</f>
        <v>0.6156449392005896</v>
      </c>
      <c r="F12" s="28" t="str">
        <f>IF(12&gt;12,D12-D11,"--")</f>
        <v>--</v>
      </c>
      <c r="I12" s="29" t="s">
        <v>24</v>
      </c>
      <c r="J12" s="25">
        <f>'Monthly Analysis'!H3</f>
        <v>46266</v>
      </c>
      <c r="K12" s="30">
        <f>'Monthly Analysis'!I3</f>
        <v>0.17169831626840248</v>
      </c>
      <c r="L12" s="15">
        <f>'Budget Planning'!B3</f>
        <v>10000</v>
      </c>
      <c r="M12" s="26">
        <f>'Budget Planning'!D3</f>
        <v>-36266</v>
      </c>
      <c r="N12" s="14" t="str">
        <f>IF(M12&gt;=0,"✅ OK","⚠️ Over")</f>
        <v>⚠️ Over</v>
      </c>
    </row>
    <row r="13" spans="1:16" ht="21.75" customHeight="1" x14ac:dyDescent="0.2">
      <c r="A13" s="31" t="s">
        <v>61</v>
      </c>
      <c r="B13" s="32">
        <f>'Monthly Analysis'!B4</f>
        <v>310740</v>
      </c>
      <c r="C13" s="33">
        <f>'Monthly Analysis'!C4</f>
        <v>55650</v>
      </c>
      <c r="D13" s="34">
        <f>'Monthly Analysis'!D4</f>
        <v>255090</v>
      </c>
      <c r="E13" s="35">
        <f>'Monthly Analysis'!E4</f>
        <v>0.82091137285190197</v>
      </c>
      <c r="F13" s="36">
        <f>IF(13&gt;12,D13-D12,"--")</f>
        <v>128112</v>
      </c>
      <c r="I13" s="37" t="s">
        <v>46</v>
      </c>
      <c r="J13" s="33">
        <f>'Monthly Analysis'!H4</f>
        <v>48174</v>
      </c>
      <c r="K13" s="38">
        <f>'Monthly Analysis'!I4</f>
        <v>0.17877911831396751</v>
      </c>
      <c r="L13" s="12">
        <f>'Budget Planning'!B4</f>
        <v>10000</v>
      </c>
      <c r="M13" s="34">
        <f>'Budget Planning'!D4</f>
        <v>-39757</v>
      </c>
      <c r="N13" s="11" t="str">
        <f>IF(M13&gt;=0,"✅ OK","⚠️ Over")</f>
        <v>⚠️ Over</v>
      </c>
    </row>
    <row r="14" spans="1:16" ht="21.75" customHeight="1" x14ac:dyDescent="0.2">
      <c r="A14" s="23" t="s">
        <v>90</v>
      </c>
      <c r="B14" s="24">
        <f>'Monthly Analysis'!B5</f>
        <v>225210</v>
      </c>
      <c r="C14" s="25">
        <f>'Monthly Analysis'!C5</f>
        <v>111140</v>
      </c>
      <c r="D14" s="26">
        <f>'Monthly Analysis'!D5</f>
        <v>114070</v>
      </c>
      <c r="E14" s="27">
        <f>'Monthly Analysis'!E5</f>
        <v>0.5065050397406865</v>
      </c>
      <c r="F14" s="28">
        <f>IF(14&gt;12,D14-D13,"--")</f>
        <v>-141020</v>
      </c>
      <c r="I14" s="29" t="s">
        <v>20</v>
      </c>
      <c r="J14" s="25">
        <f>'Monthly Analysis'!H5</f>
        <v>47042</v>
      </c>
      <c r="K14" s="30">
        <f>'Monthly Analysis'!I5</f>
        <v>0.17457813932257357</v>
      </c>
      <c r="L14" s="15">
        <f>'Budget Planning'!B5</f>
        <v>10000</v>
      </c>
      <c r="M14" s="26">
        <f>'Budget Planning'!D5</f>
        <v>-38174</v>
      </c>
      <c r="N14" s="14" t="str">
        <f>IF(M14&gt;=0,"✅ OK","⚠️ Over")</f>
        <v>⚠️ Over</v>
      </c>
    </row>
    <row r="15" spans="1:16" ht="21.75" customHeight="1" x14ac:dyDescent="0.2">
      <c r="A15" s="31" t="s">
        <v>122</v>
      </c>
      <c r="B15" s="32">
        <f>'Monthly Analysis'!B6</f>
        <v>134166</v>
      </c>
      <c r="C15" s="33">
        <f>'Monthly Analysis'!C6</f>
        <v>23397</v>
      </c>
      <c r="D15" s="34">
        <f>'Monthly Analysis'!D6</f>
        <v>110769</v>
      </c>
      <c r="E15" s="35">
        <f>'Monthly Analysis'!E6</f>
        <v>0.82561155583381785</v>
      </c>
      <c r="F15" s="36">
        <f>IF(15&gt;12,D15-D14,"--")</f>
        <v>-3301</v>
      </c>
      <c r="I15" s="37" t="s">
        <v>30</v>
      </c>
      <c r="J15" s="33">
        <f>'Monthly Analysis'!H6</f>
        <v>49757</v>
      </c>
      <c r="K15" s="38">
        <f>'Monthly Analysis'!I6</f>
        <v>0.18465380889998922</v>
      </c>
      <c r="L15" s="12">
        <f>'Budget Planning'!B6</f>
        <v>10000</v>
      </c>
      <c r="M15" s="34">
        <f>'Budget Planning'!D6</f>
        <v>-37042</v>
      </c>
      <c r="N15" s="11" t="str">
        <f>IF(M15&gt;=0,"✅ OK","⚠️ Over")</f>
        <v>⚠️ Over</v>
      </c>
    </row>
    <row r="16" spans="1:16" ht="21.75" customHeight="1" x14ac:dyDescent="0.2">
      <c r="A16" s="39" t="s">
        <v>140</v>
      </c>
      <c r="B16" s="40">
        <f>SUM(B12:B15)</f>
        <v>876368</v>
      </c>
      <c r="C16" s="40">
        <f>SUM(C12:C15)</f>
        <v>269461</v>
      </c>
      <c r="D16" s="40">
        <f>SUM(D12:D15)</f>
        <v>606907</v>
      </c>
      <c r="E16" s="41">
        <f>IFERROR(D16/B16,0)</f>
        <v>0.69252528618114761</v>
      </c>
      <c r="F16" s="39" t="s">
        <v>167</v>
      </c>
      <c r="I16" s="29" t="s">
        <v>40</v>
      </c>
      <c r="J16" s="25">
        <f>'Monthly Analysis'!H7</f>
        <v>43059</v>
      </c>
      <c r="K16" s="30">
        <f>'Monthly Analysis'!I7</f>
        <v>0.1597967794968474</v>
      </c>
      <c r="L16" s="15">
        <f>'Budget Planning'!B7</f>
        <v>10000</v>
      </c>
      <c r="M16" s="26">
        <f>'Budget Planning'!D7</f>
        <v>-33059</v>
      </c>
      <c r="N16" s="14" t="str">
        <f>IF(M16&gt;=0,"✅ OK","⚠️ Over")</f>
        <v>⚠️ Over</v>
      </c>
    </row>
    <row r="17" spans="1:16" ht="21.75" customHeight="1" x14ac:dyDescent="0.2">
      <c r="I17" s="37" t="s">
        <v>42</v>
      </c>
      <c r="J17" s="33">
        <f>'Monthly Analysis'!H8</f>
        <v>35163</v>
      </c>
      <c r="K17" s="38">
        <f>'Monthly Analysis'!I8</f>
        <v>0.13049383769821979</v>
      </c>
      <c r="L17" s="12">
        <f>'Budget Planning'!B8</f>
        <v>10000</v>
      </c>
      <c r="M17" s="34">
        <f>'Budget Planning'!D8</f>
        <v>-25163</v>
      </c>
      <c r="N17" s="11" t="str">
        <f>IF(M17&gt;=0,"✅ OK","⚠️ Over")</f>
        <v>⚠️ Over</v>
      </c>
    </row>
    <row r="18" spans="1:16" ht="25.5" customHeight="1" x14ac:dyDescent="0.2">
      <c r="I18" s="39" t="s">
        <v>140</v>
      </c>
      <c r="J18" s="40">
        <f>SUM(J12:J17)</f>
        <v>269461</v>
      </c>
      <c r="K18" s="41" t="s">
        <v>168</v>
      </c>
      <c r="L18" s="40">
        <f>'Budget Planning'!B9</f>
        <v>60000</v>
      </c>
      <c r="M18" s="40">
        <f>IFERROR(L18-J18,0)</f>
        <v>-209461</v>
      </c>
      <c r="N18" s="39"/>
    </row>
    <row r="19" spans="1:16" ht="13.5" customHeight="1" x14ac:dyDescent="0.2"/>
    <row r="20" spans="1:16" ht="27.75" customHeight="1" x14ac:dyDescent="0.2">
      <c r="A20" s="55" t="s">
        <v>169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</row>
    <row r="21" spans="1:16" ht="21.75" customHeight="1" x14ac:dyDescent="0.2">
      <c r="A21" s="56" t="s">
        <v>170</v>
      </c>
      <c r="B21" s="56"/>
      <c r="C21" s="47" t="s">
        <v>171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</row>
    <row r="22" spans="1:16" ht="21.75" customHeight="1" x14ac:dyDescent="0.2">
      <c r="A22" s="50" t="s">
        <v>172</v>
      </c>
      <c r="B22" s="50"/>
      <c r="C22" s="49" t="s">
        <v>173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16" ht="21.75" customHeight="1" x14ac:dyDescent="0.2">
      <c r="A23" s="51" t="s">
        <v>174</v>
      </c>
      <c r="B23" s="51"/>
      <c r="C23" s="47" t="s">
        <v>175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</row>
    <row r="24" spans="1:16" ht="21.75" customHeight="1" x14ac:dyDescent="0.2">
      <c r="A24" s="52" t="s">
        <v>176</v>
      </c>
      <c r="B24" s="52"/>
      <c r="C24" s="49" t="s">
        <v>177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21.75" customHeight="1" x14ac:dyDescent="0.2">
      <c r="A25" s="46" t="s">
        <v>178</v>
      </c>
      <c r="B25" s="46"/>
      <c r="C25" s="47" t="s">
        <v>179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</row>
    <row r="26" spans="1:16" ht="21.75" customHeight="1" x14ac:dyDescent="0.2">
      <c r="A26" s="48" t="s">
        <v>180</v>
      </c>
      <c r="B26" s="48"/>
      <c r="C26" s="49" t="s">
        <v>181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6" ht="19.5" customHeight="1" x14ac:dyDescent="0.2"/>
    <row r="28" spans="1:16" ht="19.5" customHeight="1" x14ac:dyDescent="0.2"/>
    <row r="29" spans="1:16" ht="19.5" customHeight="1" x14ac:dyDescent="0.2"/>
    <row r="30" spans="1:16" ht="19.5" customHeight="1" x14ac:dyDescent="0.2"/>
    <row r="31" spans="1:16" ht="19.5" customHeight="1" x14ac:dyDescent="0.2"/>
    <row r="32" spans="1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</sheetData>
  <mergeCells count="27">
    <mergeCell ref="A1:P1"/>
    <mergeCell ref="A2:P2"/>
    <mergeCell ref="A4:C4"/>
    <mergeCell ref="D4:F4"/>
    <mergeCell ref="G4:I4"/>
    <mergeCell ref="J4:L4"/>
    <mergeCell ref="M4:P4"/>
    <mergeCell ref="A5:C5"/>
    <mergeCell ref="D5:F5"/>
    <mergeCell ref="G5:I5"/>
    <mergeCell ref="J5:L5"/>
    <mergeCell ref="M5:P5"/>
    <mergeCell ref="A10:H10"/>
    <mergeCell ref="I10:P10"/>
    <mergeCell ref="A20:P20"/>
    <mergeCell ref="A21:B21"/>
    <mergeCell ref="C21:P21"/>
    <mergeCell ref="A25:B25"/>
    <mergeCell ref="C25:P25"/>
    <mergeCell ref="A26:B26"/>
    <mergeCell ref="C26:P26"/>
    <mergeCell ref="A22:B22"/>
    <mergeCell ref="C22:P22"/>
    <mergeCell ref="A23:B23"/>
    <mergeCell ref="C23:P23"/>
    <mergeCell ref="A24:B24"/>
    <mergeCell ref="C24:P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65C0"/>
  </sheetPr>
  <dimension ref="A1:L8"/>
  <sheetViews>
    <sheetView zoomScaleNormal="100" workbookViewId="0"/>
  </sheetViews>
  <sheetFormatPr defaultColWidth="8.7421875" defaultRowHeight="15" x14ac:dyDescent="0.2"/>
  <cols>
    <col min="1" max="1" width="9.953125" customWidth="1"/>
    <col min="2" max="3" width="14.9296875" customWidth="1"/>
    <col min="4" max="4" width="13.98828125" customWidth="1"/>
    <col min="5" max="5" width="13.046875" customWidth="1"/>
    <col min="6" max="6" width="2.95703125" customWidth="1"/>
    <col min="7" max="7" width="18.0234375" customWidth="1"/>
    <col min="8" max="8" width="14.9296875" customWidth="1"/>
    <col min="9" max="9" width="13.046875" customWidth="1"/>
    <col min="10" max="10" width="2.95703125" customWidth="1"/>
    <col min="11" max="12" width="14.9296875" customWidth="1"/>
  </cols>
  <sheetData>
    <row r="1" spans="1:12" ht="31.5" customHeight="1" x14ac:dyDescent="0.2">
      <c r="A1" s="69" t="s">
        <v>182</v>
      </c>
      <c r="B1" s="69"/>
      <c r="C1" s="69"/>
      <c r="D1" s="69"/>
      <c r="E1" s="69"/>
      <c r="F1" s="69"/>
      <c r="G1" s="69"/>
      <c r="H1" s="69"/>
      <c r="I1" s="69"/>
    </row>
    <row r="2" spans="1:12" ht="21.75" customHeight="1" x14ac:dyDescent="0.2">
      <c r="A2" s="42" t="s">
        <v>2</v>
      </c>
      <c r="B2" s="42" t="s">
        <v>183</v>
      </c>
      <c r="C2" s="42" t="s">
        <v>184</v>
      </c>
      <c r="D2" s="42" t="s">
        <v>185</v>
      </c>
      <c r="E2" s="42" t="s">
        <v>161</v>
      </c>
      <c r="G2" s="10" t="s">
        <v>4</v>
      </c>
      <c r="H2" s="10" t="s">
        <v>186</v>
      </c>
      <c r="I2" s="10" t="s">
        <v>187</v>
      </c>
      <c r="K2" s="43" t="s">
        <v>3</v>
      </c>
      <c r="L2" s="43" t="s">
        <v>186</v>
      </c>
    </row>
    <row r="3" spans="1:12" ht="21.75" customHeight="1" x14ac:dyDescent="0.2">
      <c r="A3" s="11" t="s">
        <v>14</v>
      </c>
      <c r="B3" s="32">
        <f>SUMIFS('Raw Data'!G:G,'Raw Data'!B:B,"Jan",'Raw Data'!H:H,"Income")</f>
        <v>206252</v>
      </c>
      <c r="C3" s="33">
        <f>SUMIFS('Raw Data'!G:G,'Raw Data'!B:B,"Jan",'Raw Data'!H:H,"Expense")</f>
        <v>79274</v>
      </c>
      <c r="D3" s="34">
        <f>B3-C3</f>
        <v>126978</v>
      </c>
      <c r="E3" s="35">
        <f>IFERROR(D3/B3,0)</f>
        <v>0.6156449392005896</v>
      </c>
      <c r="G3" s="13" t="s">
        <v>24</v>
      </c>
      <c r="H3" s="33">
        <f>SUMIFS('Raw Data'!G:G,'Raw Data'!D:D,"Food")</f>
        <v>46266</v>
      </c>
      <c r="I3" s="44">
        <f>IFERROR(H3/SUM(H3:H8),0)</f>
        <v>0.17169831626840248</v>
      </c>
      <c r="K3" s="13" t="s">
        <v>15</v>
      </c>
      <c r="L3" s="32">
        <f>SUMIFS('Raw Data'!G:G,'Raw Data'!C:C,"Salary")</f>
        <v>317953</v>
      </c>
    </row>
    <row r="4" spans="1:12" ht="21.75" customHeight="1" x14ac:dyDescent="0.2">
      <c r="A4" s="14" t="s">
        <v>61</v>
      </c>
      <c r="B4" s="24">
        <f>SUMIFS('Raw Data'!G:G,'Raw Data'!B:B,"Feb",'Raw Data'!H:H,"Income")</f>
        <v>310740</v>
      </c>
      <c r="C4" s="25">
        <f>SUMIFS('Raw Data'!G:G,'Raw Data'!B:B,"Feb",'Raw Data'!H:H,"Expense")</f>
        <v>55650</v>
      </c>
      <c r="D4" s="26">
        <f>B4-C4</f>
        <v>255090</v>
      </c>
      <c r="E4" s="27">
        <f>IFERROR(D4/B4,0)</f>
        <v>0.82091137285190197</v>
      </c>
      <c r="G4" s="16" t="s">
        <v>20</v>
      </c>
      <c r="H4" s="25">
        <f>SUMIFS('Raw Data'!G:G,'Raw Data'!D:D,"Travel")</f>
        <v>48174</v>
      </c>
      <c r="I4" s="45">
        <f>IFERROR(H4/SUM(H3:H8),0)</f>
        <v>0.17877911831396751</v>
      </c>
      <c r="K4" s="16" t="s">
        <v>27</v>
      </c>
      <c r="L4" s="24">
        <f>SUMIFS('Raw Data'!G:G,'Raw Data'!C:C,"Business")</f>
        <v>307424</v>
      </c>
    </row>
    <row r="5" spans="1:12" ht="21.75" customHeight="1" x14ac:dyDescent="0.2">
      <c r="A5" s="11" t="s">
        <v>90</v>
      </c>
      <c r="B5" s="32">
        <f>SUMIFS('Raw Data'!G:G,'Raw Data'!B:B,"Mar",'Raw Data'!H:H,"Income")</f>
        <v>225210</v>
      </c>
      <c r="C5" s="33">
        <f>SUMIFS('Raw Data'!G:G,'Raw Data'!B:B,"Mar",'Raw Data'!H:H,"Expense")</f>
        <v>111140</v>
      </c>
      <c r="D5" s="34">
        <f>B5-C5</f>
        <v>114070</v>
      </c>
      <c r="E5" s="35">
        <f>IFERROR(D5/B5,0)</f>
        <v>0.5065050397406865</v>
      </c>
      <c r="G5" s="13" t="s">
        <v>30</v>
      </c>
      <c r="H5" s="33">
        <f>SUMIFS('Raw Data'!G:G,'Raw Data'!D:D,"Shopping")</f>
        <v>47042</v>
      </c>
      <c r="I5" s="44">
        <f>IFERROR(H5/SUM(H3:H8),0)</f>
        <v>0.17457813932257357</v>
      </c>
      <c r="K5" s="13" t="s">
        <v>38</v>
      </c>
      <c r="L5" s="32">
        <f>SUMIFS('Raw Data'!G:G,'Raw Data'!C:C,"Freelance")</f>
        <v>250991</v>
      </c>
    </row>
    <row r="6" spans="1:12" ht="21.75" customHeight="1" x14ac:dyDescent="0.2">
      <c r="A6" s="14" t="s">
        <v>122</v>
      </c>
      <c r="B6" s="24">
        <f>SUMIFS('Raw Data'!G:G,'Raw Data'!B:B,"Apr",'Raw Data'!H:H,"Income")</f>
        <v>134166</v>
      </c>
      <c r="C6" s="25">
        <f>SUMIFS('Raw Data'!G:G,'Raw Data'!B:B,"Apr",'Raw Data'!H:H,"Expense")</f>
        <v>23397</v>
      </c>
      <c r="D6" s="26">
        <f>B6-C6</f>
        <v>110769</v>
      </c>
      <c r="E6" s="27">
        <f>IFERROR(D6/B6,0)</f>
        <v>0.82561155583381785</v>
      </c>
      <c r="G6" s="16" t="s">
        <v>46</v>
      </c>
      <c r="H6" s="25">
        <f>SUMIFS('Raw Data'!G:G,'Raw Data'!D:D,"Rent")</f>
        <v>49757</v>
      </c>
      <c r="I6" s="45">
        <f>IFERROR(H6/SUM(H3:H8),0)</f>
        <v>0.18465380889998922</v>
      </c>
    </row>
    <row r="7" spans="1:12" ht="21.75" customHeight="1" x14ac:dyDescent="0.2">
      <c r="G7" s="13" t="s">
        <v>40</v>
      </c>
      <c r="H7" s="33">
        <f>SUMIFS('Raw Data'!G:G,'Raw Data'!D:D,"EMI")</f>
        <v>43059</v>
      </c>
      <c r="I7" s="44">
        <f>IFERROR(H7/SUM(H3:H8),0)</f>
        <v>0.1597967794968474</v>
      </c>
    </row>
    <row r="8" spans="1:12" ht="21.75" customHeight="1" x14ac:dyDescent="0.2">
      <c r="G8" s="16" t="s">
        <v>42</v>
      </c>
      <c r="H8" s="25">
        <f>SUMIFS('Raw Data'!G:G,'Raw Data'!D:D,"Bills")</f>
        <v>35163</v>
      </c>
      <c r="I8" s="45">
        <f>IFERROR(H8/SUM(H3:H8),0)</f>
        <v>0.13049383769821979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Cleaned Data</vt:lpstr>
      <vt:lpstr>Budget Planning</vt:lpstr>
      <vt:lpstr>KPI Summary</vt:lpstr>
      <vt:lpstr>Dashboard</vt:lpstr>
      <vt:lpstr>Monthly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2026-04-12T17:39:24Z</dcterms:created>
  <dcterms:modified xsi:type="dcterms:W3CDTF">2026-04-13T07:53:06Z</dcterms:modified>
  <dc:language>en-US</dc:language>
</cp:coreProperties>
</file>